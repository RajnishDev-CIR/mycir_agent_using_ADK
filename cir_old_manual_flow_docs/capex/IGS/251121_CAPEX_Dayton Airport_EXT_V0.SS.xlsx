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0" documentId="8_{B00991F4-C3A0-427B-8A48-82B7C2024BEA}" xr6:coauthVersionLast="47" xr6:coauthVersionMax="47" xr10:uidLastSave="{00000000-0000-0000-0000-000000000000}"/>
  <bookViews>
    <workbookView xWindow="-108" yWindow="-108" windowWidth="23256" windowHeight="12456" xr2:uid="{D607C926-55D4-4078-97E3-1AF4C80CE409}"/>
  </bookViews>
  <sheets>
    <sheet name="Summary  (2)" sheetId="4" r:id="rId1"/>
    <sheet name="Summary " sheetId="2" r:id="rId2"/>
    <sheet name="Sheet1" sheetId="1" r:id="rId3"/>
    <sheet name="Sheet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B4" i="4"/>
  <c r="H4" i="1" l="1"/>
  <c r="C6" i="2"/>
  <c r="J39" i="1"/>
  <c r="O4" i="1" s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C22" i="1" s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K26" i="1" s="1"/>
  <c r="G29" i="1"/>
  <c r="K29" i="1" s="1"/>
  <c r="K27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K28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K30" i="1" l="1"/>
  <c r="C29" i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7" i="2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23" i="1"/>
  <c r="C8" i="2" s="1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<sst xmlns="http://schemas.openxmlformats.org/spreadsheetml/2006/main" count="96" uniqueCount="68">
  <si>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</si>
  <si>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</si>
  <si>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</si>
  <si>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</si>
  <si>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</si>
  <si>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</si>
  <si>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</si>
  <si>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</si>
  <si>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</si>
  <si>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</si>
  <si>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</si>
  <si>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</si>
  <si>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</si>
  <si>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</si>
  <si>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</si>
  <si>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</si>
  <si>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</si>
  <si>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</si>
  <si>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</si>
  <si>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</si>
  <si>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</si>
  <si>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</si>
  <si>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</si>
  <si>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</si>
  <si>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</si>
  <si>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</si>
  <si>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</si>
  <si>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</si>
  <si>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</si>
  <si>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</si>
  <si>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</si>
  <si>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</si>
  <si>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</si>
  <si>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</si>
  <si>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</si>
  <si>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</si>
  <si>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</si>
  <si>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</si>
  <si>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</si>
  <si>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</si>
  <si>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</si>
  <si>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</si>
  <si>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</si>
  <si>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</si>
  <si>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</si>
  <si>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</si>
  <si>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</si>
  <si>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</si>
  <si>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</si>
  <si>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</si>
  <si>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</si>
  <si>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</si>
  <si>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</si>
  <si>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</si>
  <si>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</si>
  <si>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</si>
  <si>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</si>
  <si>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</si>
  <si>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</si>
  <si>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</si>
  <si>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</si>
  <si>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</si>
  <si>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</si>
  <si>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</si>
  <si>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</si>
  <si>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</si>
  <si>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Dayton Airport</t>
  </si>
  <si>
    <t xml:space="preserve">Cost related to FAA requirements is not considered since we don’t have much clarity at this stage.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</si>
</sst>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7EFF3-CFFA-4426-8509-E0BA204C3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7B37-E14D-48FB-B701-F78542CC1C74}">
  <dimension ref="B1:F34"/>
  <sheetViews>
    <sheetView showGridLines="0" tabSelected="1" topLeftCell="A19" workbookViewId="0">
      <selection activeCell="C29" sqref="C29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3000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2500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1140000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288085.41616112599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600000</v>
      </c>
      <c r="D9" s="46">
        <f>Sheet1!D24</f>
        <v>0.2</v>
      </c>
    </row>
    <row r="10" spans="2:6" x14ac:dyDescent="0.3">
      <c r="B10" s="40" t="str">
        <f>Sheet1!B25</f>
        <v>BOS</v>
      </c>
      <c r="C10" s="45">
        <f>Sheet1!C25</f>
        <v>1125000</v>
      </c>
      <c r="D10" s="46">
        <f>Sheet1!D25</f>
        <v>0.375</v>
      </c>
    </row>
    <row r="11" spans="2:6" x14ac:dyDescent="0.3">
      <c r="B11" s="40" t="str">
        <f>Sheet1!B26</f>
        <v xml:space="preserve">Mechanical installation </v>
      </c>
      <c r="C11" s="45">
        <f>Sheet1!C26</f>
        <v>600000</v>
      </c>
      <c r="D11" s="46">
        <f>Sheet1!D26</f>
        <v>0.2</v>
      </c>
    </row>
    <row r="12" spans="2:6" x14ac:dyDescent="0.3">
      <c r="B12" s="40" t="str">
        <f>Sheet1!B27</f>
        <v xml:space="preserve">Electrical Installation </v>
      </c>
      <c r="C12" s="45">
        <f>Sheet1!C27</f>
        <v>1290000</v>
      </c>
      <c r="D12" s="46">
        <f>Sheet1!D27</f>
        <v>0.43</v>
      </c>
    </row>
    <row r="13" spans="2:6" x14ac:dyDescent="0.3">
      <c r="B13" s="40" t="str">
        <f>Sheet1!B28</f>
        <v xml:space="preserve">Civil </v>
      </c>
      <c r="C13" s="45">
        <f>Sheet1!C28</f>
        <v>300000</v>
      </c>
      <c r="D13" s="46">
        <f>Sheet1!D28</f>
        <v>0.1</v>
      </c>
    </row>
    <row r="14" spans="2:6" x14ac:dyDescent="0.3">
      <c r="B14" s="40" t="str">
        <f>Sheet1!B29</f>
        <v xml:space="preserve">Engineering </v>
      </c>
      <c r="C14" s="45">
        <f>Sheet1!C29</f>
        <v>60000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60000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240000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570308.54161611258</v>
      </c>
      <c r="D17" s="46">
        <f>Sheet1!D32</f>
        <v>0.19010284720537088</v>
      </c>
    </row>
    <row r="18" spans="2:4" x14ac:dyDescent="0.3">
      <c r="B18" s="40" t="str">
        <f>Sheet1!B34</f>
        <v xml:space="preserve">Contingency Amount </v>
      </c>
      <c r="C18" s="45">
        <f>Sheet1!C34</f>
        <v>188201.81873331717</v>
      </c>
      <c r="D18" s="46">
        <f>Sheet1!D34</f>
        <v>6.2733939577772388E-2</v>
      </c>
    </row>
    <row r="19" spans="2:4" ht="15" thickBot="1" x14ac:dyDescent="0.35">
      <c r="B19" s="42" t="str">
        <f>Sheet1!B36</f>
        <v>Total $/Wp</v>
      </c>
      <c r="C19" s="43">
        <f>Sheet1!C36</f>
        <v>6461595.7765105553</v>
      </c>
      <c r="D19" s="44">
        <f>Sheet1!D36</f>
        <v>2.1538652588368516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  <row r="34" spans="2:4" x14ac:dyDescent="0.3">
      <c r="B34" s="24" t="s">
        <v>67</v>
      </c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4"/>
  <sheetViews>
    <sheetView showGridLines="0" workbookViewId="0">
      <selection activeCell="H13" sqref="H13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3000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2500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1140000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288085.41616112599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600000</v>
      </c>
      <c r="D9" s="46">
        <f>Sheet1!D24</f>
        <v>0.2</v>
      </c>
    </row>
    <row r="10" spans="2:6" x14ac:dyDescent="0.3">
      <c r="B10" s="40" t="str">
        <f>Sheet1!B25</f>
        <v>BOS</v>
      </c>
      <c r="C10" s="45">
        <f>Sheet1!C25</f>
        <v>1125000</v>
      </c>
      <c r="D10" s="46">
        <f>Sheet1!D25</f>
        <v>0.375</v>
      </c>
    </row>
    <row r="11" spans="2:6" x14ac:dyDescent="0.3">
      <c r="B11" s="40" t="str">
        <f>Sheet1!B26</f>
        <v xml:space="preserve">Mechanical installation </v>
      </c>
      <c r="C11" s="45">
        <f>Sheet1!C26</f>
        <v>600000</v>
      </c>
      <c r="D11" s="46">
        <f>Sheet1!D26</f>
        <v>0.2</v>
      </c>
    </row>
    <row r="12" spans="2:6" x14ac:dyDescent="0.3">
      <c r="B12" s="40" t="str">
        <f>Sheet1!B27</f>
        <v xml:space="preserve">Electrical Installation </v>
      </c>
      <c r="C12" s="45">
        <f>Sheet1!C27</f>
        <v>1290000</v>
      </c>
      <c r="D12" s="46">
        <f>Sheet1!D27</f>
        <v>0.43</v>
      </c>
    </row>
    <row r="13" spans="2:6" x14ac:dyDescent="0.3">
      <c r="B13" s="40" t="str">
        <f>Sheet1!B28</f>
        <v xml:space="preserve">Civil </v>
      </c>
      <c r="C13" s="45">
        <f>Sheet1!C28</f>
        <v>300000</v>
      </c>
      <c r="D13" s="46">
        <f>Sheet1!D28</f>
        <v>0.1</v>
      </c>
    </row>
    <row r="14" spans="2:6" x14ac:dyDescent="0.3">
      <c r="B14" s="40" t="str">
        <f>Sheet1!B29</f>
        <v xml:space="preserve">Engineering </v>
      </c>
      <c r="C14" s="45">
        <f>Sheet1!C29</f>
        <v>60000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60000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240000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570308.54161611258</v>
      </c>
      <c r="D17" s="46">
        <f>Sheet1!D32</f>
        <v>0.19010284720537088</v>
      </c>
    </row>
    <row r="18" spans="2:4" x14ac:dyDescent="0.3">
      <c r="B18" s="40" t="str">
        <f>Sheet1!B34</f>
        <v xml:space="preserve">Contingency Amount </v>
      </c>
      <c r="C18" s="45">
        <f>Sheet1!C34</f>
        <v>188201.81873331717</v>
      </c>
      <c r="D18" s="46">
        <f>Sheet1!D34</f>
        <v>6.2733939577772388E-2</v>
      </c>
    </row>
    <row r="19" spans="2:4" ht="15" thickBot="1" x14ac:dyDescent="0.35">
      <c r="B19" s="42" t="str">
        <f>Sheet1!B36</f>
        <v>Total $/Wp</v>
      </c>
      <c r="C19" s="43">
        <f>Sheet1!C36</f>
        <v>6461595.7765105553</v>
      </c>
      <c r="D19" s="44">
        <f>Sheet1!D36</f>
        <v>2.1538652588368516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  <row r="34" spans="2:4" x14ac:dyDescent="0.3">
      <c r="B34" s="24" t="s">
        <v>67</v>
      </c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workbookViewId="0">
      <selection activeCell="A4" sqref="A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</v>
      </c>
      <c r="H4" s="28">
        <f>0.375</f>
        <v>0.375</v>
      </c>
      <c r="I4" s="28">
        <v>0.2</v>
      </c>
      <c r="J4" s="28">
        <v>0.43</v>
      </c>
      <c r="K4" s="28">
        <v>0.1</v>
      </c>
      <c r="L4" s="28">
        <v>0.02</v>
      </c>
      <c r="M4" s="28">
        <v>0.02</v>
      </c>
      <c r="N4" s="28">
        <v>0.08</v>
      </c>
      <c r="O4" s="28">
        <f>SUM(E4:H4)*10%+SUM(I4:N4)*10%</f>
        <v>0.19010284720537088</v>
      </c>
      <c r="P4" s="28">
        <v>0</v>
      </c>
      <c r="Q4" s="28">
        <f>SUM(E4:O4)*B4</f>
        <v>6.2733939577772388E-2</v>
      </c>
      <c r="R4" s="28">
        <v>0</v>
      </c>
      <c r="S4" s="17">
        <f>SUM(E4:R4)</f>
        <v>2.1538652588368516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148356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3000</v>
      </c>
    </row>
    <row r="11" spans="2:22" hidden="1" x14ac:dyDescent="0.3">
      <c r="B11" s="7" t="s">
        <v>29</v>
      </c>
      <c r="C11" s="6">
        <f>D11*$C$9*1000</f>
        <v>779631.9</v>
      </c>
      <c r="D11" s="9">
        <f>E4+F4+G4+H4</f>
        <v>1.0510284720537086</v>
      </c>
      <c r="E11" s="18">
        <f>D11/$D$17</f>
        <v>0.48797317647497312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541499.39999999991</v>
      </c>
      <c r="D12" s="10">
        <f>I4+J4+K4</f>
        <v>0.73</v>
      </c>
      <c r="E12" s="18">
        <f t="shared" ref="E12:E16" si="2">D12/$D$17</f>
        <v>0.33892556509975036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29671.199999999997</v>
      </c>
      <c r="D13" s="10">
        <f>L4+M4</f>
        <v>0.04</v>
      </c>
      <c r="E13" s="18">
        <f t="shared" si="2"/>
        <v>1.8571263841082212E-2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59342.399999999994</v>
      </c>
      <c r="D14" s="10">
        <f>N4</f>
        <v>0.08</v>
      </c>
      <c r="E14" s="18">
        <f t="shared" si="2"/>
        <v>3.7142527682164424E-2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141014.49</v>
      </c>
      <c r="D15" s="10">
        <f>O4</f>
        <v>0.19010284720537088</v>
      </c>
      <c r="E15" s="18">
        <f t="shared" si="2"/>
        <v>8.8261253309797019E-2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46534.781700000007</v>
      </c>
      <c r="D16" s="10">
        <f>Q4</f>
        <v>6.2733939577772388E-2</v>
      </c>
      <c r="E16" s="18">
        <f t="shared" si="2"/>
        <v>2.9126213592233014E-2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1597694.1716999996</v>
      </c>
      <c r="D17" s="14">
        <f>SUM(D11:D16)</f>
        <v>2.1538652588368516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3000</v>
      </c>
      <c r="D20" s="8" t="s">
        <v>25</v>
      </c>
      <c r="E20" s="21">
        <f>C20/C21</f>
        <v>1.2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2500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1140000</v>
      </c>
      <c r="D22" s="10">
        <f>E4</f>
        <v>0.38</v>
      </c>
      <c r="E22" s="18">
        <f t="shared" ref="E22:E27" si="4">D22/$D$28</f>
        <v>3.8</v>
      </c>
      <c r="F22" t="s">
        <v>26</v>
      </c>
      <c r="G22">
        <f>C20/H22*1000</f>
        <v>6000</v>
      </c>
      <c r="H22">
        <v>500</v>
      </c>
      <c r="I22">
        <f>H22*G22/1000</f>
        <v>3000</v>
      </c>
      <c r="K22" s="20"/>
    </row>
    <row r="23" spans="2:12" x14ac:dyDescent="0.3">
      <c r="B23" s="7" t="str">
        <f>F2</f>
        <v>Inverter Price</v>
      </c>
      <c r="C23" s="5">
        <f t="shared" ref="C23:C35" si="5">D23*$C$20*1000</f>
        <v>288085.41616112599</v>
      </c>
      <c r="D23" s="10">
        <f>F4</f>
        <v>9.6028472053708652E-2</v>
      </c>
      <c r="E23" s="18">
        <f t="shared" si="4"/>
        <v>0.96028472053708647</v>
      </c>
      <c r="F23" t="s">
        <v>27</v>
      </c>
      <c r="G23">
        <v>8</v>
      </c>
      <c r="H23">
        <v>275</v>
      </c>
      <c r="I23">
        <f>H23*G23</f>
        <v>2200</v>
      </c>
      <c r="J23">
        <f>J13</f>
        <v>10000</v>
      </c>
      <c r="K23" s="20">
        <f>J23*G23</f>
        <v>80000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si="5"/>
        <v>600000</v>
      </c>
      <c r="D24" s="10">
        <f>G4</f>
        <v>0.2</v>
      </c>
      <c r="E24" s="18">
        <f t="shared" si="4"/>
        <v>2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1125000</v>
      </c>
      <c r="D25" s="10">
        <f>H4</f>
        <v>0.375</v>
      </c>
      <c r="E25" s="18">
        <f t="shared" si="4"/>
        <v>3.75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600000</v>
      </c>
      <c r="D26" s="10">
        <f>I4</f>
        <v>0.2</v>
      </c>
      <c r="E26" s="18">
        <f t="shared" si="4"/>
        <v>2</v>
      </c>
      <c r="G26" s="20"/>
      <c r="H26" s="20"/>
      <c r="I26" s="21"/>
      <c r="J26">
        <v>155</v>
      </c>
      <c r="K26" s="20">
        <f>J26*G23+G24*J26</f>
        <v>1240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1290000</v>
      </c>
      <c r="D27" s="10">
        <f>J4</f>
        <v>0.43</v>
      </c>
      <c r="E27" s="18">
        <f t="shared" si="4"/>
        <v>4.3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300000</v>
      </c>
      <c r="D28" s="10">
        <f>K4</f>
        <v>0.1</v>
      </c>
      <c r="E28" s="18"/>
      <c r="J28">
        <v>90</v>
      </c>
      <c r="K28" s="20">
        <f>J28*(G23+G24)</f>
        <v>720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60000</v>
      </c>
      <c r="D29" s="10">
        <f>L4</f>
        <v>0.02</v>
      </c>
      <c r="E29" s="18"/>
      <c r="G29">
        <f>G22/2</f>
        <v>3000</v>
      </c>
      <c r="J29">
        <v>22</v>
      </c>
      <c r="K29" s="20">
        <f>J29*G29</f>
        <v>66000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60000</v>
      </c>
      <c r="D30" s="10">
        <f>M4</f>
        <v>0.02</v>
      </c>
      <c r="E30" s="18"/>
      <c r="K30" s="20">
        <f>SUM(K23:K29)</f>
        <v>150485</v>
      </c>
      <c r="L30" s="21">
        <f>K30/C20/1000</f>
        <v>5.0161666666666667E-2</v>
      </c>
    </row>
    <row r="31" spans="2:12" x14ac:dyDescent="0.3">
      <c r="B31" s="7" t="str">
        <f>N2</f>
        <v xml:space="preserve">Overhead </v>
      </c>
      <c r="C31" s="5">
        <f t="shared" si="5"/>
        <v>240000</v>
      </c>
      <c r="D31" s="10">
        <f>N4</f>
        <v>0.08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570308.54161611258</v>
      </c>
      <c r="D32" s="10">
        <f>O4</f>
        <v>0.19010284720537088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188201.81873331717</v>
      </c>
      <c r="D34" s="10">
        <f>Q4</f>
        <v>6.2733939577772388E-2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6461595.7765105553</v>
      </c>
      <c r="D36" s="14">
        <f>SUM(D22:D35)</f>
        <v>2.1538652588368516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1.6666666666666666E-2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</v>
      </c>
      <c r="E5" s="33">
        <f>Sheet1!H4</f>
        <v>0.375</v>
      </c>
      <c r="F5" s="33">
        <f>Sheet1!I4</f>
        <v>0.2</v>
      </c>
      <c r="G5" s="33">
        <f>Sheet1!J4</f>
        <v>0.43</v>
      </c>
      <c r="H5" s="33">
        <f>Sheet1!K4</f>
        <v>0.1</v>
      </c>
      <c r="I5" s="33">
        <f>Sheet1!L4</f>
        <v>0.02</v>
      </c>
      <c r="J5" s="33">
        <f>Sheet1!M4</f>
        <v>0.02</v>
      </c>
      <c r="K5" s="33">
        <f>Sheet1!N4</f>
        <v>0.08</v>
      </c>
      <c r="L5" s="33">
        <f>Sheet1!O4</f>
        <v>0.19010284720537088</v>
      </c>
      <c r="M5" s="33">
        <f>Sheet1!P4</f>
        <v>0</v>
      </c>
      <c r="N5" s="33">
        <f>Sheet1!Q4</f>
        <v>6.2733939577772388E-2</v>
      </c>
      <c r="O5" s="33">
        <f>Sheet1!R4</f>
        <v>0</v>
      </c>
      <c r="P5" s="33">
        <f>Sheet1!S4</f>
        <v>2.1538652588368516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</v>
      </c>
    </row>
    <row r="11" spans="2:16" x14ac:dyDescent="0.3">
      <c r="C11" s="34" t="str">
        <f>G4</f>
        <v xml:space="preserve">Electrical Installation </v>
      </c>
      <c r="D11" s="35">
        <f>G5</f>
        <v>0.43</v>
      </c>
    </row>
    <row r="12" spans="2:16" x14ac:dyDescent="0.3">
      <c r="C12" s="34" t="str">
        <f>H4</f>
        <v xml:space="preserve">Civil </v>
      </c>
      <c r="D12" s="35">
        <f>H5</f>
        <v>0.1</v>
      </c>
    </row>
    <row r="13" spans="2:16" x14ac:dyDescent="0.3">
      <c r="C13" s="37" t="s">
        <v>47</v>
      </c>
      <c r="D13" s="38">
        <f>SUM(D10:D12)</f>
        <v>0.73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D9A9CF0-D800-4508-A751-498ECC4AFD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 (2)</vt:lpstr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2025-11-21T14:39:55Z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