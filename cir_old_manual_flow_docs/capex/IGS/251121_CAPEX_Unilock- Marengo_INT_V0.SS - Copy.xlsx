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733" documentId="8_{0A602AED-51D8-4002-B8AF-EEADE992CD1B}" xr6:coauthVersionLast="47" xr6:coauthVersionMax="47" xr10:uidLastSave="{F1F92957-92F7-40DE-8D28-46CFE6E85FAC}"/>
  <bookViews>
    <workbookView xWindow="-108" yWindow="-108" windowWidth="23256" windowHeight="12456" xr2:uid="{D607C926-55D4-4078-97E3-1AF4C80CE409}"/>
  </bookViews>
  <sheets>
    <sheet name="Summary 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H4" i="1"/>
  <c r="F4" i="1"/>
  <c r="J39" i="1"/>
  <c r="O4" i="1" s="1"/>
  <c r="G22" i="1" l="1"/>
  <c r="I22" i="1" s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C22" i="1" s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K26" i="1" s="1"/>
  <c r="G29" i="1"/>
  <c r="K29" i="1" s="1"/>
  <c r="K27" i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D7" i="2" l="1"/>
  <c r="K24" i="1"/>
  <c r="K28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K30" i="1" l="1"/>
  <c r="C29" i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7" i="2"/>
  <c r="C28" i="1"/>
  <c r="C13" i="2" s="1"/>
  <c r="D13" i="3"/>
  <c r="L30" i="1" l="1"/>
  <c r="C10" i="2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K5" i="3" l="1"/>
  <c r="D13" i="1"/>
  <c r="D12" i="1"/>
  <c r="D23" i="1" l="1"/>
  <c r="C5" i="3"/>
  <c r="D11" i="1"/>
  <c r="L7" i="1"/>
  <c r="D8" i="2" l="1"/>
  <c r="C23" i="1"/>
  <c r="C8" i="2" s="1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<sst xmlns="http://schemas.openxmlformats.org/spreadsheetml/2006/main" count="80" uniqueCount="67">
  <si>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</si>
  <si>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</si>
  <si>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</si>
  <si>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</si>
  <si>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</si>
  <si>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</si>
  <si>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</si>
  <si>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</si>
  <si>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</si>
  <si>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</si>
  <si>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</si>
  <si>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</si>
  <si>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</si>
  <si>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</si>
  <si>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</si>
  <si>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</si>
  <si>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</si>
  <si>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</si>
  <si>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</si>
  <si>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</si>
  <si>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</si>
  <si>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</si>
  <si>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</si>
  <si>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</si>
  <si>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</si>
  <si>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</si>
  <si>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</si>
  <si>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</si>
  <si>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</si>
  <si>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</si>
  <si>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</si>
  <si>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</si>
  <si>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</si>
  <si>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</si>
  <si>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</si>
  <si>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</si>
  <si>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</si>
  <si>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</si>
  <si>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</si>
  <si>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</si>
  <si>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</si>
  <si>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</si>
  <si>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</si>
  <si>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</si>
  <si>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</si>
  <si>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</si>
  <si>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</si>
  <si>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</si>
  <si>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</si>
  <si>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</si>
  <si>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</si>
  <si>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</si>
  <si>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</si>
  <si>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</si>
  <si>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</si>
  <si>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</si>
  <si>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</si>
  <si>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 xml:space="preserve">POI location is at inverter level only </t>
  </si>
  <si>
    <t>Type of System -Ground Mount</t>
  </si>
  <si>
    <t>GM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</si>
  <si>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</si>
  <si>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</si>
  <si>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</si>
  <si>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</si>
  <si>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</si>
  <si>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</si>
  <si>
    <t>Projwect Name : Unilock- Marengo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</si>
</sst>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3"/>
  <sheetViews>
    <sheetView showGridLines="0" tabSelected="1" workbookViewId="0">
      <selection activeCell="C11" sqref="C11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66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1630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f>Sheet1!C21</f>
        <v>1400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619400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156526.4094475451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358600</v>
      </c>
      <c r="D9" s="46">
        <f>Sheet1!D24</f>
        <v>0.22</v>
      </c>
    </row>
    <row r="10" spans="2:6" x14ac:dyDescent="0.3">
      <c r="B10" s="40" t="str">
        <f>Sheet1!B25</f>
        <v>BOS</v>
      </c>
      <c r="C10" s="45">
        <f>Sheet1!C25</f>
        <v>611250</v>
      </c>
      <c r="D10" s="46">
        <f>Sheet1!D25</f>
        <v>0.375</v>
      </c>
    </row>
    <row r="11" spans="2:6" x14ac:dyDescent="0.3">
      <c r="B11" s="40" t="str">
        <f>Sheet1!B26</f>
        <v xml:space="preserve">Mechanical installation </v>
      </c>
      <c r="C11" s="45">
        <f>Sheet1!C26</f>
        <v>391200</v>
      </c>
      <c r="D11" s="46">
        <f>Sheet1!D26</f>
        <v>0.24</v>
      </c>
    </row>
    <row r="12" spans="2:6" x14ac:dyDescent="0.3">
      <c r="B12" s="40" t="str">
        <f>Sheet1!B27</f>
        <v xml:space="preserve">Electrical Installation </v>
      </c>
      <c r="C12" s="45">
        <f>Sheet1!C27</f>
        <v>733500</v>
      </c>
      <c r="D12" s="46">
        <f>Sheet1!D27</f>
        <v>0.45</v>
      </c>
    </row>
    <row r="13" spans="2:6" x14ac:dyDescent="0.3">
      <c r="B13" s="40" t="str">
        <f>Sheet1!B28</f>
        <v xml:space="preserve">Civil </v>
      </c>
      <c r="C13" s="45">
        <f>Sheet1!C28</f>
        <v>195600</v>
      </c>
      <c r="D13" s="46">
        <f>Sheet1!D28</f>
        <v>0.12</v>
      </c>
    </row>
    <row r="14" spans="2:6" x14ac:dyDescent="0.3">
      <c r="B14" s="40" t="str">
        <f>Sheet1!B29</f>
        <v xml:space="preserve">Engineering </v>
      </c>
      <c r="C14" s="45">
        <f>Sheet1!C29</f>
        <v>32600</v>
      </c>
      <c r="D14" s="46">
        <f>Sheet1!D29</f>
        <v>0.02</v>
      </c>
    </row>
    <row r="15" spans="2:6" x14ac:dyDescent="0.3">
      <c r="B15" s="40" t="str">
        <f>Sheet1!B30</f>
        <v xml:space="preserve">Permitting </v>
      </c>
      <c r="C15" s="45">
        <f>Sheet1!C30</f>
        <v>32600</v>
      </c>
      <c r="D15" s="46">
        <f>Sheet1!D30</f>
        <v>0.02</v>
      </c>
    </row>
    <row r="16" spans="2:6" x14ac:dyDescent="0.3">
      <c r="B16" s="40" t="str">
        <f>Sheet1!B31</f>
        <v xml:space="preserve">Overhead </v>
      </c>
      <c r="C16" s="45">
        <f>Sheet1!C31</f>
        <v>130400</v>
      </c>
      <c r="D16" s="46">
        <f>Sheet1!D31</f>
        <v>0.08</v>
      </c>
    </row>
    <row r="17" spans="2:4" x14ac:dyDescent="0.3">
      <c r="B17" s="40" t="str">
        <f>Sheet1!B32</f>
        <v xml:space="preserve">Margin </v>
      </c>
      <c r="C17" s="45">
        <f>Sheet1!C32</f>
        <v>326167.64094475453</v>
      </c>
      <c r="D17" s="46">
        <f>Sheet1!D32</f>
        <v>0.20010284720537086</v>
      </c>
    </row>
    <row r="18" spans="2:4" x14ac:dyDescent="0.3">
      <c r="B18" s="40" t="str">
        <f>Sheet1!B34</f>
        <v xml:space="preserve">Contingency Amount </v>
      </c>
      <c r="C18" s="45">
        <f>Sheet1!C34</f>
        <v>107635.321511769</v>
      </c>
      <c r="D18" s="46">
        <f>Sheet1!D34</f>
        <v>6.6033939577772385E-2</v>
      </c>
    </row>
    <row r="19" spans="2:4" ht="15" thickBot="1" x14ac:dyDescent="0.35">
      <c r="B19" s="42" t="str">
        <f>Sheet1!B36</f>
        <v>Total $/Wp</v>
      </c>
      <c r="C19" s="43">
        <f>Sheet1!C36</f>
        <v>3695479.3719040691</v>
      </c>
      <c r="D19" s="44">
        <f>Sheet1!D36</f>
        <v>2.2671652588368523</v>
      </c>
    </row>
    <row r="21" spans="2:4" x14ac:dyDescent="0.3">
      <c r="B21" s="32" t="s">
        <v>0</v>
      </c>
    </row>
    <row r="22" spans="2:4" x14ac:dyDescent="0.3">
      <c r="B22" s="24" t="s">
        <v>60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61</v>
      </c>
    </row>
    <row r="30" spans="2:4" x14ac:dyDescent="0.3">
      <c r="B30" s="24" t="s">
        <v>62</v>
      </c>
    </row>
    <row r="31" spans="2:4" x14ac:dyDescent="0.3">
      <c r="B31" s="24" t="s">
        <v>40</v>
      </c>
    </row>
    <row r="32" spans="2:4" x14ac:dyDescent="0.3">
      <c r="B32" s="24" t="s">
        <v>65</v>
      </c>
    </row>
    <row r="33" spans="2:4" x14ac:dyDescent="0.3">
      <c r="B33" s="24" t="s">
        <v>57</v>
      </c>
      <c r="D33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workbookViewId="0">
      <selection activeCell="O4" sqref="O4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59</v>
      </c>
      <c r="D4" s="16">
        <v>2.2000000000000002</v>
      </c>
      <c r="E4" s="17">
        <v>0.38</v>
      </c>
      <c r="F4" s="28">
        <f>N13</f>
        <v>9.6028472053708652E-2</v>
      </c>
      <c r="G4" s="28">
        <v>0.22</v>
      </c>
      <c r="H4" s="28">
        <f>0.375</f>
        <v>0.375</v>
      </c>
      <c r="I4" s="28">
        <v>0.24</v>
      </c>
      <c r="J4" s="28">
        <v>0.45</v>
      </c>
      <c r="K4" s="28">
        <v>0.12</v>
      </c>
      <c r="L4" s="28">
        <v>0.02</v>
      </c>
      <c r="M4" s="28">
        <v>0.02</v>
      </c>
      <c r="N4" s="28">
        <v>0.08</v>
      </c>
      <c r="O4" s="28">
        <f>SUM(E4:H4)*10%+SUM(I4:N4)*10%</f>
        <v>0.20010284720537086</v>
      </c>
      <c r="P4" s="28">
        <v>0</v>
      </c>
      <c r="Q4" s="28">
        <f>SUM(E4:O4)*B4</f>
        <v>6.6033939577772385E-2</v>
      </c>
      <c r="R4" s="28">
        <v>0</v>
      </c>
      <c r="S4" s="17">
        <f>SUM(E4:R4)</f>
        <v>2.2671652588368523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163191.6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1900</v>
      </c>
    </row>
    <row r="11" spans="2:22" hidden="1" x14ac:dyDescent="0.3">
      <c r="B11" s="7" t="s">
        <v>29</v>
      </c>
      <c r="C11" s="6">
        <f>D11*$C$9*1000</f>
        <v>794467.5</v>
      </c>
      <c r="D11" s="9">
        <f>E4+F4+G4+H4</f>
        <v>1.0710284720537087</v>
      </c>
      <c r="E11" s="18">
        <f>D11/$D$17</f>
        <v>0.47240864682409156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600841.79999999993</v>
      </c>
      <c r="D12" s="10">
        <f>I4+J4+K4</f>
        <v>0.80999999999999994</v>
      </c>
      <c r="E12" s="18">
        <f t="shared" ref="E12:E16" si="2">D12/$D$17</f>
        <v>0.35727435256111978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29671.199999999997</v>
      </c>
      <c r="D13" s="10">
        <f>L4+M4</f>
        <v>0.04</v>
      </c>
      <c r="E13" s="18">
        <f t="shared" si="2"/>
        <v>1.7643177904252832E-2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59342.399999999994</v>
      </c>
      <c r="D14" s="10">
        <f>N4</f>
        <v>0.08</v>
      </c>
      <c r="E14" s="18">
        <f t="shared" si="2"/>
        <v>3.5286355808505664E-2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148432.29</v>
      </c>
      <c r="D15" s="10">
        <f>O4</f>
        <v>0.20010284720537086</v>
      </c>
      <c r="E15" s="18">
        <f t="shared" si="2"/>
        <v>8.8261253309796978E-2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48982.655699999996</v>
      </c>
      <c r="D16" s="10">
        <f>Q4</f>
        <v>6.6033939577772385E-2</v>
      </c>
      <c r="E16" s="18">
        <f t="shared" si="2"/>
        <v>2.9126213592233004E-2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1681737.8456999997</v>
      </c>
      <c r="D17" s="14">
        <f>SUM(D11:D16)</f>
        <v>2.2671652588368523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58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1630</v>
      </c>
      <c r="D20" s="8" t="s">
        <v>25</v>
      </c>
      <c r="E20" s="21">
        <f>C20/C21</f>
        <v>1.1642857142857144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1400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619400</v>
      </c>
      <c r="D22" s="10">
        <f>E4</f>
        <v>0.38</v>
      </c>
      <c r="E22" s="18">
        <f t="shared" ref="E22:E27" si="4">D22/$D$28</f>
        <v>3.166666666666667</v>
      </c>
      <c r="F22" t="s">
        <v>26</v>
      </c>
      <c r="G22">
        <f>C20/H22*1000</f>
        <v>3260</v>
      </c>
      <c r="H22">
        <v>500</v>
      </c>
      <c r="I22">
        <f>H22*G22/1000</f>
        <v>1630</v>
      </c>
      <c r="K22" s="20"/>
    </row>
    <row r="23" spans="2:12" x14ac:dyDescent="0.3">
      <c r="B23" s="7" t="str">
        <f>F2</f>
        <v>Inverter Price</v>
      </c>
      <c r="C23" s="5">
        <f t="shared" ref="C23:C35" si="5">D23*$C$20*1000</f>
        <v>156526.4094475451</v>
      </c>
      <c r="D23" s="10">
        <f>F4</f>
        <v>9.6028472053708652E-2</v>
      </c>
      <c r="E23" s="18">
        <f t="shared" si="4"/>
        <v>0.80023726711423881</v>
      </c>
      <c r="F23" t="s">
        <v>27</v>
      </c>
      <c r="G23">
        <v>6</v>
      </c>
      <c r="H23">
        <v>275</v>
      </c>
      <c r="I23">
        <f>H23*G23</f>
        <v>1650</v>
      </c>
      <c r="J23">
        <f>J13</f>
        <v>10000</v>
      </c>
      <c r="K23" s="20">
        <f>J23*G23</f>
        <v>60000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si="5"/>
        <v>358600</v>
      </c>
      <c r="D24" s="10">
        <f>G4</f>
        <v>0.22</v>
      </c>
      <c r="E24" s="18">
        <f t="shared" si="4"/>
        <v>1.8333333333333335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611250</v>
      </c>
      <c r="D25" s="10">
        <f>H4</f>
        <v>0.375</v>
      </c>
      <c r="E25" s="18">
        <f t="shared" si="4"/>
        <v>3.125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391200</v>
      </c>
      <c r="D26" s="10">
        <f>I4</f>
        <v>0.24</v>
      </c>
      <c r="E26" s="18">
        <f t="shared" si="4"/>
        <v>2</v>
      </c>
      <c r="G26" s="20"/>
      <c r="H26" s="20"/>
      <c r="I26" s="21"/>
      <c r="J26">
        <v>155</v>
      </c>
      <c r="K26" s="20">
        <f>J26*G23+G24*J26</f>
        <v>930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733500</v>
      </c>
      <c r="D27" s="10">
        <f>J4</f>
        <v>0.45</v>
      </c>
      <c r="E27" s="18">
        <f t="shared" si="4"/>
        <v>3.7500000000000004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195600</v>
      </c>
      <c r="D28" s="10">
        <f>K4</f>
        <v>0.12</v>
      </c>
      <c r="E28" s="18"/>
      <c r="J28">
        <v>90</v>
      </c>
      <c r="K28" s="20">
        <f>J28*(G23+G24)</f>
        <v>540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32600</v>
      </c>
      <c r="D29" s="10">
        <f>L4</f>
        <v>0.02</v>
      </c>
      <c r="E29" s="18"/>
      <c r="G29">
        <f>G22/2</f>
        <v>1630</v>
      </c>
      <c r="J29">
        <v>22</v>
      </c>
      <c r="K29" s="20">
        <f>J29*G29</f>
        <v>35860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32600</v>
      </c>
      <c r="D30" s="10">
        <f>M4</f>
        <v>0.02</v>
      </c>
      <c r="E30" s="18"/>
      <c r="K30" s="20">
        <f>SUM(K23:K29)</f>
        <v>99855</v>
      </c>
      <c r="L30" s="21">
        <f>K30/C20/1000</f>
        <v>6.1260736196319013E-2</v>
      </c>
    </row>
    <row r="31" spans="2:12" x14ac:dyDescent="0.3">
      <c r="B31" s="7" t="str">
        <f>N2</f>
        <v xml:space="preserve">Overhead </v>
      </c>
      <c r="C31" s="5">
        <f t="shared" si="5"/>
        <v>130400</v>
      </c>
      <c r="D31" s="10">
        <f>N4</f>
        <v>0.08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326167.64094475453</v>
      </c>
      <c r="D32" s="10">
        <f>O4</f>
        <v>0.20010284720537086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107635.321511769</v>
      </c>
      <c r="D34" s="10">
        <f>Q4</f>
        <v>6.6033939577772385E-2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3695479.3719040691</v>
      </c>
      <c r="D36" s="14">
        <f>SUM(D22:D35)</f>
        <v>2.2671652588368523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63</v>
      </c>
      <c r="H39" t="s">
        <v>64</v>
      </c>
      <c r="I39" s="20">
        <v>50000</v>
      </c>
      <c r="J39" s="21">
        <f>I39/C20/1000</f>
        <v>3.0674846625766871E-2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0.22</v>
      </c>
      <c r="E5" s="33">
        <f>Sheet1!H4</f>
        <v>0.375</v>
      </c>
      <c r="F5" s="33">
        <f>Sheet1!I4</f>
        <v>0.24</v>
      </c>
      <c r="G5" s="33">
        <f>Sheet1!J4</f>
        <v>0.45</v>
      </c>
      <c r="H5" s="33">
        <f>Sheet1!K4</f>
        <v>0.12</v>
      </c>
      <c r="I5" s="33">
        <f>Sheet1!L4</f>
        <v>0.02</v>
      </c>
      <c r="J5" s="33">
        <f>Sheet1!M4</f>
        <v>0.02</v>
      </c>
      <c r="K5" s="33">
        <f>Sheet1!N4</f>
        <v>0.08</v>
      </c>
      <c r="L5" s="33">
        <f>Sheet1!O4</f>
        <v>0.20010284720537086</v>
      </c>
      <c r="M5" s="33">
        <f>Sheet1!P4</f>
        <v>0</v>
      </c>
      <c r="N5" s="33">
        <f>Sheet1!Q4</f>
        <v>6.6033939577772385E-2</v>
      </c>
      <c r="O5" s="33">
        <f>Sheet1!R4</f>
        <v>0</v>
      </c>
      <c r="P5" s="33">
        <f>Sheet1!S4</f>
        <v>2.2671652588368523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0.24</v>
      </c>
    </row>
    <row r="11" spans="2:16" x14ac:dyDescent="0.3">
      <c r="C11" s="34" t="str">
        <f>G4</f>
        <v xml:space="preserve">Electrical Installation </v>
      </c>
      <c r="D11" s="35">
        <f>G5</f>
        <v>0.45</v>
      </c>
    </row>
    <row r="12" spans="2:16" x14ac:dyDescent="0.3">
      <c r="C12" s="34" t="str">
        <f>H4</f>
        <v xml:space="preserve">Civil </v>
      </c>
      <c r="D12" s="35">
        <f>H5</f>
        <v>0.12</v>
      </c>
    </row>
    <row r="13" spans="2:16" x14ac:dyDescent="0.3">
      <c r="C13" s="37" t="s">
        <v>47</v>
      </c>
      <c r="D13" s="38">
        <f>SUM(D10:D12)</f>
        <v>0.80999999999999994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Props1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3EEB62-1B08-4938-B065-AE322E6468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2025-11-21T12:09:02Z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