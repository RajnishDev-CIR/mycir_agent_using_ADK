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719" documentId="8_{0A602AED-51D8-4002-B8AF-EEADE992CD1B}" xr6:coauthVersionLast="47" xr6:coauthVersionMax="47" xr10:uidLastSave="{811F8307-0168-4E85-8B1F-C0B1651B09E5}"/>
  <bookViews>
    <workbookView xWindow="-108" yWindow="-108" windowWidth="23256" windowHeight="12456" activeTab="1" xr2:uid="{D607C926-55D4-4078-97E3-1AF4C80CE409}"/>
  </bookViews>
  <sheets>
    <sheet name="Summary 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J39" i="1"/>
  <c r="O4" i="1"/>
  <c r="G22" i="1" l="1"/>
  <c r="I22" i="1" s="1"/>
  <c r="D41" i="1"/>
  <c r="D35" i="1"/>
  <c r="D33" i="1"/>
  <c r="D31" i="1"/>
  <c r="D30" i="1"/>
  <c r="D29" i="1"/>
  <c r="D28" i="1"/>
  <c r="D27" i="1"/>
  <c r="D26" i="1"/>
  <c r="D25" i="1"/>
  <c r="D24" i="1"/>
  <c r="M6" i="1" l="1"/>
  <c r="L6" i="1"/>
  <c r="B19" i="2"/>
  <c r="B6" i="2"/>
  <c r="D6" i="2"/>
  <c r="B8" i="2"/>
  <c r="B9" i="2"/>
  <c r="B10" i="2"/>
  <c r="B11" i="2"/>
  <c r="B12" i="2"/>
  <c r="B13" i="2"/>
  <c r="D5" i="2"/>
  <c r="B5" i="2"/>
  <c r="B4" i="2"/>
  <c r="D15" i="2"/>
  <c r="D14" i="2"/>
  <c r="D13" i="2"/>
  <c r="D12" i="2"/>
  <c r="D11" i="2"/>
  <c r="D10" i="2"/>
  <c r="D9" i="2"/>
  <c r="D22" i="1"/>
  <c r="C22" i="1" s="1"/>
  <c r="B36" i="1"/>
  <c r="B35" i="1"/>
  <c r="B34" i="1"/>
  <c r="B18" i="2" s="1"/>
  <c r="B33" i="1"/>
  <c r="B32" i="1"/>
  <c r="B17" i="2" s="1"/>
  <c r="B31" i="1"/>
  <c r="B16" i="2" s="1"/>
  <c r="B30" i="1"/>
  <c r="B15" i="2" s="1"/>
  <c r="B29" i="1"/>
  <c r="B14" i="2" s="1"/>
  <c r="B28" i="1"/>
  <c r="B27" i="1"/>
  <c r="B26" i="1"/>
  <c r="B25" i="1"/>
  <c r="B24" i="1"/>
  <c r="B23" i="1"/>
  <c r="B22" i="1"/>
  <c r="B7" i="2" s="1"/>
  <c r="G24" i="1"/>
  <c r="K26" i="1" s="1"/>
  <c r="G29" i="1"/>
  <c r="K29" i="1" s="1"/>
  <c r="K27" i="1"/>
  <c r="K25" i="1"/>
  <c r="J24" i="1"/>
  <c r="J23" i="1"/>
  <c r="K23" i="1" s="1"/>
  <c r="I23" i="1"/>
  <c r="C17" i="3"/>
  <c r="C18" i="3"/>
  <c r="C16" i="3"/>
  <c r="H35" i="1"/>
  <c r="H36" i="1"/>
  <c r="H34" i="1"/>
  <c r="H33" i="1"/>
  <c r="I36" i="1" s="1"/>
  <c r="D18" i="3" s="1"/>
  <c r="G33" i="1"/>
  <c r="I33" i="1" s="1"/>
  <c r="D7" i="2" l="1"/>
  <c r="K24" i="1"/>
  <c r="K28" i="1"/>
  <c r="I34" i="1"/>
  <c r="D16" i="3" s="1"/>
  <c r="I24" i="1"/>
  <c r="I35" i="1"/>
  <c r="D17" i="3" s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K30" i="1" l="1"/>
  <c r="C29" i="1"/>
  <c r="C14" i="2" s="1"/>
  <c r="C5" i="2"/>
  <c r="C24" i="1"/>
  <c r="C9" i="2" s="1"/>
  <c r="D19" i="3"/>
  <c r="C35" i="1"/>
  <c r="C27" i="1"/>
  <c r="C12" i="2" s="1"/>
  <c r="E20" i="1"/>
  <c r="C26" i="1"/>
  <c r="C11" i="2" s="1"/>
  <c r="C25" i="1"/>
  <c r="I37" i="1"/>
  <c r="C30" i="1"/>
  <c r="C15" i="2" s="1"/>
  <c r="C33" i="1"/>
  <c r="C7" i="2"/>
  <c r="C28" i="1"/>
  <c r="C13" i="2" s="1"/>
  <c r="D13" i="3"/>
  <c r="L30" i="1" l="1"/>
  <c r="C10" i="2"/>
  <c r="D16" i="2" l="1"/>
  <c r="I11" i="1"/>
  <c r="C31" i="1" l="1"/>
  <c r="G19" i="1"/>
  <c r="K19" i="1" s="1"/>
  <c r="K17" i="1"/>
  <c r="K16" i="1"/>
  <c r="K14" i="1"/>
  <c r="K13" i="1"/>
  <c r="K18" i="1"/>
  <c r="G15" i="1"/>
  <c r="K15" i="1" s="1"/>
  <c r="I14" i="1"/>
  <c r="I13" i="1"/>
  <c r="C16" i="2" l="1"/>
  <c r="K20" i="1"/>
  <c r="L20" i="1" s="1"/>
  <c r="I12" i="1"/>
  <c r="N13" i="1" l="1"/>
  <c r="Q5" i="1"/>
  <c r="F4" i="1" l="1"/>
  <c r="K5" i="3"/>
  <c r="D13" i="1"/>
  <c r="D12" i="1"/>
  <c r="D23" i="1" l="1"/>
  <c r="C5" i="3"/>
  <c r="D11" i="1"/>
  <c r="L7" i="1"/>
  <c r="D8" i="2" l="1"/>
  <c r="C23" i="1"/>
  <c r="C8" i="2" s="1"/>
  <c r="L5" i="3"/>
  <c r="D32" i="1"/>
  <c r="Q4" i="1"/>
  <c r="D34" i="1" s="1"/>
  <c r="N5" i="3" l="1"/>
  <c r="C34" i="1"/>
  <c r="C18" i="2" s="1"/>
  <c r="D18" i="2"/>
  <c r="D36" i="1"/>
  <c r="D19" i="2" s="1"/>
  <c r="D17" i="2"/>
  <c r="C32" i="1"/>
  <c r="S4" i="1"/>
  <c r="S5" i="1" s="1"/>
  <c r="G10" i="1"/>
  <c r="D3" i="1"/>
  <c r="C17" i="2" l="1"/>
  <c r="C36" i="1"/>
  <c r="C19" i="2" s="1"/>
  <c r="P5" i="3"/>
  <c r="J9" i="1"/>
  <c r="G7" i="1"/>
  <c r="C13" i="1"/>
  <c r="D14" i="1"/>
  <c r="C12" i="1"/>
  <c r="C11" i="1" l="1"/>
  <c r="C14" i="1"/>
  <c r="D15" i="1" l="1"/>
  <c r="E23" i="1" l="1"/>
  <c r="E22" i="1"/>
  <c r="E25" i="1"/>
  <c r="E26" i="1"/>
  <c r="E27" i="1"/>
  <c r="E24" i="1"/>
  <c r="D16" i="1"/>
  <c r="D17" i="1" s="1"/>
  <c r="C15" i="1"/>
  <c r="E11" i="1" l="1"/>
  <c r="E14" i="1"/>
  <c r="E12" i="1"/>
  <c r="E13" i="1"/>
  <c r="E15" i="1"/>
  <c r="E16" i="1"/>
  <c r="C16" i="1"/>
  <c r="C17" i="1" l="1"/>
</calcChain>
</file>

<file path=xl/sharedStrings.xml><?xml version="1.0" encoding="utf-8"?>
<sst xmlns="http://schemas.openxmlformats.org/spreadsheetml/2006/main" count="80" uniqueCount="67">
  <si>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</si>
  <si>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</si>
  <si>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</si>
  <si>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</si>
  <si>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</si>
  <si>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</si>
  <si>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</si>
  <si>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</si>
  <si>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</si>
  <si>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</si>
  <si>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</si>
  <si>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</si>
  <si>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</si>
  <si>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</si>
  <si>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</si>
  <si>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</si>
  <si>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</si>
  <si>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</si>
  <si>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</si>
  <si>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</si>
  <si>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</si>
  <si>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</si>
  <si>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</si>
  <si>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</si>
  <si>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</si>
  <si>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</si>
  <si>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</si>
  <si>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</si>
  <si>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</si>
  <si>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</si>
  <si>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</si>
  <si>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</si>
  <si>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</si>
  <si>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</si>
  <si>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</si>
  <si>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</si>
  <si>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</si>
  <si>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</si>
  <si>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</si>
  <si>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</si>
  <si>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</si>
  <si>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</si>
  <si>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</si>
  <si>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</si>
  <si>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</si>
  <si>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</si>
  <si>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</si>
  <si>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</si>
  <si>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</si>
  <si>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</si>
  <si>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</si>
  <si>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</si>
  <si>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</si>
  <si>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</si>
  <si>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</si>
  <si>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KW</t>
  </si>
  <si>
    <t xml:space="preserve">Structure Price  </t>
  </si>
  <si>
    <t xml:space="preserve">POI location is at inverter level only </t>
  </si>
  <si>
    <t>Type of System -Ground Mount</t>
  </si>
  <si>
    <t>GM</t>
  </si>
  <si>
    <t>Projwect Name : Viscofan</t>
  </si>
  <si>
    <t xml:space="preserve">Currently, we have used a module price of $0.38/Wp for First Solar. Please let us know if this needs to be updated. </t>
  </si>
  <si>
    <t>Currently, we are considering a 10% margin on supply and installation.</t>
  </si>
  <si>
    <t xml:space="preserve">3% of contingency is consdiered in the above cost </t>
  </si>
  <si>
    <t>for zero-export (limiting) system</t>
  </si>
  <si>
    <t xml:space="preserve">considering reverse power realy </t>
  </si>
  <si>
    <t>We have considered the cost associsted with zero-export (limiting)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</si>
</sst>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3"/>
  <sheetViews>
    <sheetView showGridLines="0" workbookViewId="0">
      <selection activeCell="B22" sqref="B22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0" t="s">
        <v>60</v>
      </c>
      <c r="D1" s="51"/>
    </row>
    <row r="2" spans="2:6" x14ac:dyDescent="0.3">
      <c r="B2" s="54"/>
      <c r="C2" s="52"/>
      <c r="D2" s="53"/>
    </row>
    <row r="3" spans="2:6" x14ac:dyDescent="0.3">
      <c r="B3" s="54"/>
      <c r="C3" s="52"/>
      <c r="D3" s="53"/>
    </row>
    <row r="4" spans="2:6" x14ac:dyDescent="0.3">
      <c r="B4" s="47" t="str">
        <f>Sheet1!B19</f>
        <v>Type of System -Ground Mount</v>
      </c>
      <c r="C4" s="48"/>
      <c r="D4" s="49"/>
    </row>
    <row r="5" spans="2:6" x14ac:dyDescent="0.3">
      <c r="B5" s="40" t="str">
        <f>Sheet1!B20</f>
        <v xml:space="preserve">DC </v>
      </c>
      <c r="C5" s="39">
        <f>Sheet1!C20</f>
        <v>2364</v>
      </c>
      <c r="D5" s="41" t="str">
        <f>Sheet1!D20</f>
        <v>KWp</v>
      </c>
    </row>
    <row r="6" spans="2:6" x14ac:dyDescent="0.3">
      <c r="B6" s="40" t="str">
        <f>Sheet1!B21</f>
        <v xml:space="preserve">AC </v>
      </c>
      <c r="C6" s="39">
        <v>500</v>
      </c>
      <c r="D6" s="41" t="str">
        <f>Sheet1!D21</f>
        <v>KW</v>
      </c>
    </row>
    <row r="7" spans="2:6" x14ac:dyDescent="0.3">
      <c r="B7" s="40" t="str">
        <f>Sheet1!B22</f>
        <v xml:space="preserve">Module Price </v>
      </c>
      <c r="C7" s="45">
        <f>Sheet1!C22</f>
        <v>898320</v>
      </c>
      <c r="D7" s="46">
        <f>Sheet1!D22</f>
        <v>0.38</v>
      </c>
      <c r="E7" s="27"/>
      <c r="F7" s="27"/>
    </row>
    <row r="8" spans="2:6" x14ac:dyDescent="0.3">
      <c r="B8" s="40" t="str">
        <f>Sheet1!B23</f>
        <v>Inverter Price</v>
      </c>
      <c r="C8" s="45">
        <f>Sheet1!C23</f>
        <v>227011.30793496725</v>
      </c>
      <c r="D8" s="46">
        <f>Sheet1!D23</f>
        <v>9.6028472053708652E-2</v>
      </c>
    </row>
    <row r="9" spans="2:6" x14ac:dyDescent="0.3">
      <c r="B9" s="40" t="str">
        <f>Sheet1!B24</f>
        <v xml:space="preserve">Structure Price  </v>
      </c>
      <c r="C9" s="45">
        <f>Sheet1!C24</f>
        <v>520080.00000000006</v>
      </c>
      <c r="D9" s="46">
        <f>Sheet1!D24</f>
        <v>0.22</v>
      </c>
    </row>
    <row r="10" spans="2:6" x14ac:dyDescent="0.3">
      <c r="B10" s="40" t="str">
        <f>Sheet1!B25</f>
        <v>BOS</v>
      </c>
      <c r="C10" s="45">
        <f>Sheet1!C25</f>
        <v>936500</v>
      </c>
      <c r="D10" s="46">
        <f>Sheet1!D25</f>
        <v>0.39615059221658205</v>
      </c>
    </row>
    <row r="11" spans="2:6" x14ac:dyDescent="0.3">
      <c r="B11" s="40" t="str">
        <f>Sheet1!B26</f>
        <v xml:space="preserve">Mechanical installation </v>
      </c>
      <c r="C11" s="45">
        <f>Sheet1!C26</f>
        <v>472800</v>
      </c>
      <c r="D11" s="46">
        <f>Sheet1!D26</f>
        <v>0.2</v>
      </c>
    </row>
    <row r="12" spans="2:6" x14ac:dyDescent="0.3">
      <c r="B12" s="40" t="str">
        <f>Sheet1!B27</f>
        <v xml:space="preserve">Electrical Installation </v>
      </c>
      <c r="C12" s="45">
        <f>Sheet1!C27</f>
        <v>709199.99999999988</v>
      </c>
      <c r="D12" s="46">
        <f>Sheet1!D27</f>
        <v>0.3</v>
      </c>
    </row>
    <row r="13" spans="2:6" x14ac:dyDescent="0.3">
      <c r="B13" s="40" t="str">
        <f>Sheet1!B28</f>
        <v xml:space="preserve">Civil </v>
      </c>
      <c r="C13" s="45">
        <f>Sheet1!C28</f>
        <v>236400</v>
      </c>
      <c r="D13" s="46">
        <f>Sheet1!D28</f>
        <v>0.1</v>
      </c>
    </row>
    <row r="14" spans="2:6" x14ac:dyDescent="0.3">
      <c r="B14" s="40" t="str">
        <f>Sheet1!B29</f>
        <v xml:space="preserve">Engineering </v>
      </c>
      <c r="C14" s="45">
        <f>Sheet1!C29</f>
        <v>47280</v>
      </c>
      <c r="D14" s="46">
        <f>Sheet1!D29</f>
        <v>0.02</v>
      </c>
    </row>
    <row r="15" spans="2:6" x14ac:dyDescent="0.3">
      <c r="B15" s="40" t="str">
        <f>Sheet1!B30</f>
        <v xml:space="preserve">Permitting </v>
      </c>
      <c r="C15" s="45">
        <f>Sheet1!C30</f>
        <v>47280</v>
      </c>
      <c r="D15" s="46">
        <f>Sheet1!D30</f>
        <v>0.02</v>
      </c>
    </row>
    <row r="16" spans="2:6" x14ac:dyDescent="0.3">
      <c r="B16" s="40" t="str">
        <f>Sheet1!B31</f>
        <v xml:space="preserve">Overhead </v>
      </c>
      <c r="C16" s="45">
        <f>Sheet1!C31</f>
        <v>189120</v>
      </c>
      <c r="D16" s="46">
        <f>Sheet1!D31</f>
        <v>0.08</v>
      </c>
    </row>
    <row r="17" spans="2:4" x14ac:dyDescent="0.3">
      <c r="B17" s="40" t="str">
        <f>Sheet1!B32</f>
        <v xml:space="preserve">Margin </v>
      </c>
      <c r="C17" s="45">
        <f>Sheet1!C32</f>
        <v>428399.13079349668</v>
      </c>
      <c r="D17" s="46">
        <f>Sheet1!D32</f>
        <v>0.18121790642702906</v>
      </c>
    </row>
    <row r="18" spans="2:4" x14ac:dyDescent="0.3">
      <c r="B18" s="40" t="str">
        <f>Sheet1!B34</f>
        <v xml:space="preserve">Contingency Amount </v>
      </c>
      <c r="C18" s="45">
        <f>Sheet1!C34</f>
        <v>141371.71316185393</v>
      </c>
      <c r="D18" s="46">
        <f>Sheet1!D34</f>
        <v>5.9801909120919601E-2</v>
      </c>
    </row>
    <row r="19" spans="2:4" ht="15" thickBot="1" x14ac:dyDescent="0.35">
      <c r="B19" s="42" t="str">
        <f>Sheet1!B36</f>
        <v>Total $/Wp</v>
      </c>
      <c r="C19" s="43">
        <f>Sheet1!C36</f>
        <v>4853762.1518903188</v>
      </c>
      <c r="D19" s="44">
        <f>Sheet1!D36</f>
        <v>2.0531988798182397</v>
      </c>
    </row>
    <row r="21" spans="2:4" x14ac:dyDescent="0.3">
      <c r="B21" s="32" t="s">
        <v>0</v>
      </c>
    </row>
    <row r="22" spans="2:4" x14ac:dyDescent="0.3">
      <c r="B22" s="24" t="s">
        <v>61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62</v>
      </c>
    </row>
    <row r="30" spans="2:4" x14ac:dyDescent="0.3">
      <c r="B30" s="24" t="s">
        <v>63</v>
      </c>
    </row>
    <row r="31" spans="2:4" x14ac:dyDescent="0.3">
      <c r="B31" s="24" t="s">
        <v>40</v>
      </c>
    </row>
    <row r="32" spans="2:4" x14ac:dyDescent="0.3">
      <c r="B32" s="24" t="s">
        <v>66</v>
      </c>
    </row>
    <row r="33" spans="2:4" x14ac:dyDescent="0.3">
      <c r="B33" s="24" t="s">
        <v>57</v>
      </c>
      <c r="D33" s="25"/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1"/>
  <sheetViews>
    <sheetView showGridLines="0" tabSelected="1" workbookViewId="0">
      <selection activeCell="A4" sqref="A4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8.88671875" customWidth="1"/>
    <col min="6" max="6" width="11.77734375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56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I12</f>
        <v>741.78</v>
      </c>
    </row>
    <row r="4" spans="2:22" s="3" customFormat="1" ht="15" x14ac:dyDescent="0.35">
      <c r="B4" s="15">
        <v>0.03</v>
      </c>
      <c r="C4" s="16" t="s">
        <v>59</v>
      </c>
      <c r="D4" s="16">
        <v>2.2000000000000002</v>
      </c>
      <c r="E4" s="17">
        <v>0.38</v>
      </c>
      <c r="F4" s="28">
        <f>N13</f>
        <v>9.6028472053708652E-2</v>
      </c>
      <c r="G4" s="28">
        <v>0.22</v>
      </c>
      <c r="H4" s="28">
        <f>0.375+J39</f>
        <v>0.39615059221658205</v>
      </c>
      <c r="I4" s="28">
        <v>0.2</v>
      </c>
      <c r="J4" s="28">
        <v>0.3</v>
      </c>
      <c r="K4" s="28">
        <v>0.1</v>
      </c>
      <c r="L4" s="28">
        <v>0.02</v>
      </c>
      <c r="M4" s="28">
        <v>0.02</v>
      </c>
      <c r="N4" s="28">
        <v>0.08</v>
      </c>
      <c r="O4" s="28">
        <f>SUM(E4:H4)*10%+SUM(I4:N4)*10%</f>
        <v>0.18121790642702906</v>
      </c>
      <c r="P4" s="28">
        <v>0</v>
      </c>
      <c r="Q4" s="28">
        <f>SUM(E4:O4)*B4</f>
        <v>5.9801909120919601E-2</v>
      </c>
      <c r="R4" s="28">
        <v>0</v>
      </c>
      <c r="S4" s="17">
        <f>SUM(E4:R4)</f>
        <v>2.0531988798182397</v>
      </c>
      <c r="U4" s="29"/>
      <c r="V4" s="30"/>
    </row>
    <row r="5" spans="2:22" ht="15" hidden="1" x14ac:dyDescent="0.35">
      <c r="Q5" s="17">
        <f t="shared" ref="Q5" si="0">SUM(E5:O5)*B5</f>
        <v>0</v>
      </c>
      <c r="S5" s="19" t="e">
        <f>S4-#REF!</f>
        <v>#REF!</v>
      </c>
    </row>
    <row r="6" spans="2:22" hidden="1" x14ac:dyDescent="0.3">
      <c r="J6" s="22"/>
      <c r="K6" s="19"/>
      <c r="L6" s="19" t="e">
        <f>#REF!*C9*1000</f>
        <v>#REF!</v>
      </c>
      <c r="M6" s="19" t="e">
        <f>#REF!*C9*1000</f>
        <v>#REF!</v>
      </c>
      <c r="N6" s="18"/>
    </row>
    <row r="7" spans="2:22" ht="15" hidden="1" thickBot="1" x14ac:dyDescent="0.35">
      <c r="B7" s="31" t="s">
        <v>39</v>
      </c>
      <c r="G7" s="19">
        <f>G4*C9*1000</f>
        <v>163191.6</v>
      </c>
      <c r="L7" s="19" t="e">
        <f>#REF!*C20*1000</f>
        <v>#REF!</v>
      </c>
    </row>
    <row r="8" spans="2:22" hidden="1" x14ac:dyDescent="0.3">
      <c r="B8" s="55" t="s">
        <v>48</v>
      </c>
      <c r="C8" s="56"/>
      <c r="D8" s="57"/>
    </row>
    <row r="9" spans="2:22" hidden="1" x14ac:dyDescent="0.3">
      <c r="B9" s="7" t="s">
        <v>24</v>
      </c>
      <c r="C9" s="4">
        <v>741.78</v>
      </c>
      <c r="D9" s="8" t="s">
        <v>25</v>
      </c>
      <c r="F9" t="s">
        <v>26</v>
      </c>
      <c r="J9" s="19" t="e">
        <f>(#REF!+#REF!+#REF!)*C9*1000</f>
        <v>#REF!</v>
      </c>
    </row>
    <row r="10" spans="2:22" hidden="1" x14ac:dyDescent="0.3">
      <c r="B10" s="7" t="s">
        <v>27</v>
      </c>
      <c r="C10" s="4">
        <v>500</v>
      </c>
      <c r="D10" s="8" t="s">
        <v>55</v>
      </c>
      <c r="F10" t="s">
        <v>28</v>
      </c>
      <c r="G10">
        <f>C10+C21</f>
        <v>2500</v>
      </c>
    </row>
    <row r="11" spans="2:22" hidden="1" x14ac:dyDescent="0.3">
      <c r="B11" s="7" t="s">
        <v>29</v>
      </c>
      <c r="C11" s="6">
        <f>D11*$C$9*1000</f>
        <v>810156.58629441622</v>
      </c>
      <c r="D11" s="9">
        <f>E4+F4+G4+H4</f>
        <v>1.0921790642702907</v>
      </c>
      <c r="E11" s="18">
        <f>D11/$D$17</f>
        <v>0.53194022021236265</v>
      </c>
      <c r="F11" t="s">
        <v>30</v>
      </c>
      <c r="I11">
        <f>1552*590</f>
        <v>915680</v>
      </c>
    </row>
    <row r="12" spans="2:22" hidden="1" x14ac:dyDescent="0.3">
      <c r="B12" s="7" t="s">
        <v>31</v>
      </c>
      <c r="C12" s="5">
        <f t="shared" ref="C12:C16" si="1">D12*$C$9*1000</f>
        <v>445068</v>
      </c>
      <c r="D12" s="10">
        <f>I4+J4+K4</f>
        <v>0.6</v>
      </c>
      <c r="E12" s="18">
        <f t="shared" ref="E12:E16" si="2">D12/$D$17</f>
        <v>0.29222692740467265</v>
      </c>
      <c r="F12" t="s">
        <v>26</v>
      </c>
      <c r="G12">
        <v>1268</v>
      </c>
      <c r="H12">
        <v>585</v>
      </c>
      <c r="I12">
        <f>H12*G12/1000</f>
        <v>741.78</v>
      </c>
    </row>
    <row r="13" spans="2:22" hidden="1" x14ac:dyDescent="0.3">
      <c r="B13" s="11" t="s">
        <v>32</v>
      </c>
      <c r="C13" s="5">
        <f t="shared" si="1"/>
        <v>29671.199999999997</v>
      </c>
      <c r="D13" s="10">
        <f>L4+M4</f>
        <v>0.04</v>
      </c>
      <c r="E13" s="18">
        <f t="shared" si="2"/>
        <v>1.9481795160311514E-2</v>
      </c>
      <c r="F13" t="s">
        <v>27</v>
      </c>
      <c r="G13">
        <v>5</v>
      </c>
      <c r="H13">
        <v>100</v>
      </c>
      <c r="I13">
        <f>H13*G13</f>
        <v>500</v>
      </c>
      <c r="J13">
        <v>10000</v>
      </c>
      <c r="K13" s="20">
        <f>J13*G13</f>
        <v>50000</v>
      </c>
      <c r="N13" s="26">
        <f>K20/I12/1000</f>
        <v>9.6028472053708652E-2</v>
      </c>
    </row>
    <row r="14" spans="2:22" hidden="1" x14ac:dyDescent="0.3">
      <c r="B14" s="7" t="s">
        <v>33</v>
      </c>
      <c r="C14" s="5">
        <f t="shared" si="1"/>
        <v>59342.399999999994</v>
      </c>
      <c r="D14" s="10">
        <f>N4</f>
        <v>0.08</v>
      </c>
      <c r="E14" s="18">
        <f t="shared" si="2"/>
        <v>3.8963590320623027E-2</v>
      </c>
      <c r="G14">
        <v>0</v>
      </c>
      <c r="H14">
        <v>36</v>
      </c>
      <c r="I14">
        <f>H14*G14</f>
        <v>0</v>
      </c>
      <c r="J14">
        <v>3800</v>
      </c>
      <c r="K14" s="20">
        <f>J14*G14</f>
        <v>0</v>
      </c>
    </row>
    <row r="15" spans="2:22" hidden="1" x14ac:dyDescent="0.3">
      <c r="B15" s="7" t="s">
        <v>19</v>
      </c>
      <c r="C15" s="5">
        <f t="shared" si="1"/>
        <v>134423.81862944164</v>
      </c>
      <c r="D15" s="10">
        <f>O4</f>
        <v>0.18121790642702906</v>
      </c>
      <c r="E15" s="18">
        <f t="shared" si="2"/>
        <v>8.8261253309796978E-2</v>
      </c>
      <c r="G15">
        <f>G12/2</f>
        <v>634</v>
      </c>
      <c r="J15">
        <v>25</v>
      </c>
      <c r="K15" s="20">
        <f>J15*G15</f>
        <v>15850</v>
      </c>
    </row>
    <row r="16" spans="2:22" hidden="1" x14ac:dyDescent="0.3">
      <c r="B16" s="7" t="s">
        <v>7</v>
      </c>
      <c r="C16" s="5">
        <f t="shared" si="1"/>
        <v>44359.860147715743</v>
      </c>
      <c r="D16" s="10">
        <f>Q4</f>
        <v>5.9801909120919601E-2</v>
      </c>
      <c r="E16" s="18">
        <f t="shared" si="2"/>
        <v>2.9126213592233011E-2</v>
      </c>
      <c r="G16">
        <v>1</v>
      </c>
      <c r="J16">
        <v>857</v>
      </c>
      <c r="K16" s="20">
        <f>J16*G16</f>
        <v>857</v>
      </c>
      <c r="L16" t="s">
        <v>35</v>
      </c>
    </row>
    <row r="17" spans="2:12" ht="15" hidden="1" thickBot="1" x14ac:dyDescent="0.35">
      <c r="B17" s="12" t="s">
        <v>34</v>
      </c>
      <c r="C17" s="13">
        <f>SUM(C11:C16)</f>
        <v>1523021.8650715735</v>
      </c>
      <c r="D17" s="14">
        <f>SUM(D11:D16)</f>
        <v>2.0531988798182397</v>
      </c>
      <c r="E17" s="18"/>
      <c r="G17">
        <v>1</v>
      </c>
      <c r="J17">
        <v>2000</v>
      </c>
      <c r="K17" s="20">
        <f>J17*G17</f>
        <v>2000</v>
      </c>
      <c r="L17" t="s">
        <v>36</v>
      </c>
    </row>
    <row r="18" spans="2:12" ht="15" hidden="1" thickBot="1" x14ac:dyDescent="0.35">
      <c r="G18">
        <v>1</v>
      </c>
      <c r="J18">
        <v>1750</v>
      </c>
      <c r="K18" s="20">
        <f t="shared" ref="K18:K19" si="3">J18*G18</f>
        <v>1750</v>
      </c>
      <c r="L18" t="s">
        <v>37</v>
      </c>
    </row>
    <row r="19" spans="2:12" x14ac:dyDescent="0.3">
      <c r="B19" s="55" t="s">
        <v>58</v>
      </c>
      <c r="C19" s="56"/>
      <c r="D19" s="57"/>
      <c r="G19">
        <f>G14+G13</f>
        <v>5</v>
      </c>
      <c r="J19">
        <v>155</v>
      </c>
      <c r="K19" s="20">
        <f t="shared" si="3"/>
        <v>775</v>
      </c>
      <c r="L19" t="s">
        <v>38</v>
      </c>
    </row>
    <row r="20" spans="2:12" x14ac:dyDescent="0.3">
      <c r="B20" s="7" t="s">
        <v>24</v>
      </c>
      <c r="C20" s="4">
        <v>2364</v>
      </c>
      <c r="D20" s="8" t="s">
        <v>25</v>
      </c>
      <c r="E20" s="21">
        <f>C20/C21</f>
        <v>1.1819999999999999</v>
      </c>
      <c r="K20" s="20">
        <f>SUM(K13:K19)</f>
        <v>71232</v>
      </c>
      <c r="L20" s="21">
        <f>K20/C9/1000</f>
        <v>9.6028472053708652E-2</v>
      </c>
    </row>
    <row r="21" spans="2:12" x14ac:dyDescent="0.3">
      <c r="B21" s="7" t="s">
        <v>27</v>
      </c>
      <c r="C21" s="4">
        <v>2000</v>
      </c>
      <c r="D21" s="8" t="s">
        <v>55</v>
      </c>
    </row>
    <row r="22" spans="2:12" x14ac:dyDescent="0.3">
      <c r="B22" s="7" t="str">
        <f>E2</f>
        <v xml:space="preserve">Module Price </v>
      </c>
      <c r="C22" s="5">
        <f>D22*$C$20*1000</f>
        <v>898320</v>
      </c>
      <c r="D22" s="10">
        <f>E4</f>
        <v>0.38</v>
      </c>
      <c r="E22" s="18">
        <f t="shared" ref="E22:E27" si="4">D22/$D$28</f>
        <v>3.8</v>
      </c>
      <c r="F22" t="s">
        <v>26</v>
      </c>
      <c r="G22">
        <f>C20/H22*1000</f>
        <v>4728</v>
      </c>
      <c r="H22">
        <v>500</v>
      </c>
      <c r="I22">
        <f>H22*G22/1000</f>
        <v>2364</v>
      </c>
      <c r="K22" s="20"/>
    </row>
    <row r="23" spans="2:12" x14ac:dyDescent="0.3">
      <c r="B23" s="7" t="str">
        <f>F2</f>
        <v>Inverter Price</v>
      </c>
      <c r="C23" s="5">
        <f t="shared" ref="C23:C35" si="5">D23*$C$20*1000</f>
        <v>227011.30793496725</v>
      </c>
      <c r="D23" s="10">
        <f>F4</f>
        <v>9.6028472053708652E-2</v>
      </c>
      <c r="E23" s="18">
        <f t="shared" si="4"/>
        <v>0.96028472053708647</v>
      </c>
      <c r="F23" t="s">
        <v>27</v>
      </c>
      <c r="G23">
        <v>8</v>
      </c>
      <c r="H23">
        <v>275</v>
      </c>
      <c r="I23">
        <f>H23*G23</f>
        <v>2200</v>
      </c>
      <c r="J23">
        <f>J13</f>
        <v>10000</v>
      </c>
      <c r="K23" s="20">
        <f>J23*G23</f>
        <v>80000</v>
      </c>
      <c r="L23" t="s">
        <v>49</v>
      </c>
    </row>
    <row r="24" spans="2:12" x14ac:dyDescent="0.3">
      <c r="B24" s="11" t="str">
        <f>G2</f>
        <v xml:space="preserve">Structure Price  </v>
      </c>
      <c r="C24" s="5">
        <f t="shared" si="5"/>
        <v>520080.00000000006</v>
      </c>
      <c r="D24" s="10">
        <f>G4</f>
        <v>0.22</v>
      </c>
      <c r="E24" s="18">
        <f t="shared" si="4"/>
        <v>2.1999999999999997</v>
      </c>
      <c r="G24">
        <f>G14</f>
        <v>0</v>
      </c>
      <c r="H24">
        <v>36</v>
      </c>
      <c r="I24" s="20">
        <f>H24*G24</f>
        <v>0</v>
      </c>
      <c r="J24">
        <f>J14</f>
        <v>3800</v>
      </c>
      <c r="K24" s="20">
        <f>J24*G24</f>
        <v>0</v>
      </c>
      <c r="L24" t="s">
        <v>49</v>
      </c>
    </row>
    <row r="25" spans="2:12" x14ac:dyDescent="0.3">
      <c r="B25" s="7" t="str">
        <f>H2</f>
        <v>BOS</v>
      </c>
      <c r="C25" s="5">
        <f t="shared" si="5"/>
        <v>936500</v>
      </c>
      <c r="D25" s="10">
        <f>H4</f>
        <v>0.39615059221658205</v>
      </c>
      <c r="E25" s="18">
        <f t="shared" si="4"/>
        <v>3.9615059221658204</v>
      </c>
      <c r="J25">
        <v>775</v>
      </c>
      <c r="K25" s="20">
        <f>J25</f>
        <v>775</v>
      </c>
      <c r="L25" t="s">
        <v>50</v>
      </c>
    </row>
    <row r="26" spans="2:12" x14ac:dyDescent="0.3">
      <c r="B26" s="7" t="str">
        <f>I2</f>
        <v xml:space="preserve">Mechanical installation </v>
      </c>
      <c r="C26" s="5">
        <f t="shared" si="5"/>
        <v>472800</v>
      </c>
      <c r="D26" s="10">
        <f>I4</f>
        <v>0.2</v>
      </c>
      <c r="E26" s="18">
        <f t="shared" si="4"/>
        <v>2</v>
      </c>
      <c r="G26" s="20"/>
      <c r="H26" s="20"/>
      <c r="I26" s="21"/>
      <c r="J26">
        <v>155</v>
      </c>
      <c r="K26" s="20">
        <f>J26*G23+G24*J26</f>
        <v>1240</v>
      </c>
      <c r="L26" t="s">
        <v>51</v>
      </c>
    </row>
    <row r="27" spans="2:12" x14ac:dyDescent="0.3">
      <c r="B27" s="7" t="str">
        <f>J2</f>
        <v xml:space="preserve">Electrical Installation </v>
      </c>
      <c r="C27" s="5">
        <f t="shared" si="5"/>
        <v>709199.99999999988</v>
      </c>
      <c r="D27" s="10">
        <f>J4</f>
        <v>0.3</v>
      </c>
      <c r="E27" s="18">
        <f t="shared" si="4"/>
        <v>2.9999999999999996</v>
      </c>
      <c r="J27">
        <v>1750</v>
      </c>
      <c r="K27" s="20">
        <f>J27</f>
        <v>1750</v>
      </c>
      <c r="L27" t="s">
        <v>52</v>
      </c>
    </row>
    <row r="28" spans="2:12" x14ac:dyDescent="0.3">
      <c r="B28" s="7" t="str">
        <f>K2</f>
        <v xml:space="preserve">Civil </v>
      </c>
      <c r="C28" s="5">
        <f t="shared" si="5"/>
        <v>236400</v>
      </c>
      <c r="D28" s="10">
        <f>K4</f>
        <v>0.1</v>
      </c>
      <c r="E28" s="18"/>
      <c r="J28">
        <v>90</v>
      </c>
      <c r="K28" s="20">
        <f>J28*(G23+G24)</f>
        <v>720</v>
      </c>
      <c r="L28" t="s">
        <v>54</v>
      </c>
    </row>
    <row r="29" spans="2:12" x14ac:dyDescent="0.3">
      <c r="B29" s="7" t="str">
        <f>L2</f>
        <v xml:space="preserve">Engineering </v>
      </c>
      <c r="C29" s="5">
        <f t="shared" si="5"/>
        <v>47280</v>
      </c>
      <c r="D29" s="10">
        <f>L4</f>
        <v>0.02</v>
      </c>
      <c r="E29" s="18"/>
      <c r="G29">
        <f>G22/2</f>
        <v>2364</v>
      </c>
      <c r="J29">
        <v>22</v>
      </c>
      <c r="K29" s="20">
        <f>J29*G29</f>
        <v>52008</v>
      </c>
      <c r="L29" t="s">
        <v>53</v>
      </c>
    </row>
    <row r="30" spans="2:12" x14ac:dyDescent="0.3">
      <c r="B30" s="7" t="str">
        <f>M2</f>
        <v xml:space="preserve">Permitting </v>
      </c>
      <c r="C30" s="5">
        <f t="shared" si="5"/>
        <v>47280</v>
      </c>
      <c r="D30" s="10">
        <f>M4</f>
        <v>0.02</v>
      </c>
      <c r="E30" s="18"/>
      <c r="K30" s="20">
        <f>SUM(K23:K29)</f>
        <v>136493</v>
      </c>
      <c r="L30" s="21">
        <f>K30/C20/1000</f>
        <v>5.7738155668358715E-2</v>
      </c>
    </row>
    <row r="31" spans="2:12" x14ac:dyDescent="0.3">
      <c r="B31" s="7" t="str">
        <f>N2</f>
        <v xml:space="preserve">Overhead </v>
      </c>
      <c r="C31" s="5">
        <f t="shared" si="5"/>
        <v>189120</v>
      </c>
      <c r="D31" s="10">
        <f>N4</f>
        <v>0.08</v>
      </c>
      <c r="E31" s="18"/>
      <c r="K31" s="20"/>
    </row>
    <row r="32" spans="2:12" x14ac:dyDescent="0.3">
      <c r="B32" s="7" t="str">
        <f>O2</f>
        <v xml:space="preserve">Margin </v>
      </c>
      <c r="C32" s="5">
        <f t="shared" si="5"/>
        <v>428399.13079349668</v>
      </c>
      <c r="D32" s="10">
        <f>O4</f>
        <v>0.18121790642702906</v>
      </c>
      <c r="E32" s="18"/>
      <c r="K32" s="20"/>
    </row>
    <row r="33" spans="2:11" x14ac:dyDescent="0.3">
      <c r="B33" s="7" t="str">
        <f>P2</f>
        <v>Sales &amp; Use Tax</v>
      </c>
      <c r="C33" s="5">
        <f t="shared" si="5"/>
        <v>0</v>
      </c>
      <c r="D33" s="10">
        <f>P4</f>
        <v>0</v>
      </c>
      <c r="E33" s="18"/>
      <c r="F33" t="s">
        <v>29</v>
      </c>
      <c r="G33">
        <f>1675695</f>
        <v>1675695</v>
      </c>
      <c r="H33">
        <f>5445*410</f>
        <v>2232450</v>
      </c>
      <c r="I33">
        <f>G33/$H$33</f>
        <v>0.75060807632869719</v>
      </c>
      <c r="J33" t="s">
        <v>42</v>
      </c>
      <c r="K33" s="20"/>
    </row>
    <row r="34" spans="2:11" x14ac:dyDescent="0.3">
      <c r="B34" s="7" t="str">
        <f>Q2</f>
        <v xml:space="preserve">Contingency Amount </v>
      </c>
      <c r="C34" s="5">
        <f t="shared" si="5"/>
        <v>141371.71316185393</v>
      </c>
      <c r="D34" s="10">
        <f>Q4</f>
        <v>5.9801909120919601E-2</v>
      </c>
      <c r="E34" s="18"/>
      <c r="F34" t="s">
        <v>43</v>
      </c>
      <c r="G34">
        <v>599823.53</v>
      </c>
      <c r="H34">
        <f>G34</f>
        <v>599823.53</v>
      </c>
      <c r="I34">
        <f t="shared" ref="I34:I36" si="6">G34/$H$33</f>
        <v>0.26868397052565568</v>
      </c>
      <c r="K34" s="20"/>
    </row>
    <row r="35" spans="2:11" x14ac:dyDescent="0.3">
      <c r="B35" s="7" t="str">
        <f>R2</f>
        <v xml:space="preserve">Bonding amount </v>
      </c>
      <c r="C35" s="5">
        <f t="shared" si="5"/>
        <v>0</v>
      </c>
      <c r="D35" s="10">
        <f>R4</f>
        <v>0</v>
      </c>
      <c r="E35" s="18"/>
      <c r="F35" t="s">
        <v>44</v>
      </c>
      <c r="G35">
        <v>924310.59</v>
      </c>
      <c r="H35">
        <f t="shared" ref="H35:H36" si="7">G35</f>
        <v>924310.59</v>
      </c>
      <c r="I35">
        <f t="shared" si="6"/>
        <v>0.4140341732177652</v>
      </c>
      <c r="K35" s="20"/>
    </row>
    <row r="36" spans="2:11" ht="15" thickBot="1" x14ac:dyDescent="0.35">
      <c r="B36" s="12" t="str">
        <f>S2</f>
        <v>Total $/Wp</v>
      </c>
      <c r="C36" s="13">
        <f>SUM(C22:C35)</f>
        <v>4853762.1518903188</v>
      </c>
      <c r="D36" s="14">
        <f>SUM(D22:D35)</f>
        <v>2.0531988798182397</v>
      </c>
      <c r="E36" s="18"/>
      <c r="F36" t="s">
        <v>45</v>
      </c>
      <c r="G36">
        <v>262588.24</v>
      </c>
      <c r="H36">
        <f t="shared" si="7"/>
        <v>262588.24</v>
      </c>
      <c r="I36">
        <f t="shared" si="6"/>
        <v>0.11762334654751506</v>
      </c>
      <c r="K36" s="20"/>
    </row>
    <row r="37" spans="2:11" x14ac:dyDescent="0.3">
      <c r="I37">
        <f>SUM(I34:I36)</f>
        <v>0.80034149029093593</v>
      </c>
    </row>
    <row r="39" spans="2:11" x14ac:dyDescent="0.3">
      <c r="G39" t="s">
        <v>64</v>
      </c>
      <c r="H39" t="s">
        <v>65</v>
      </c>
      <c r="I39" s="20">
        <v>50000</v>
      </c>
      <c r="J39" s="21">
        <f>I39/C20/1000</f>
        <v>2.1150592216582064E-2</v>
      </c>
    </row>
    <row r="41" spans="2:11" x14ac:dyDescent="0.3">
      <c r="B41">
        <v>500</v>
      </c>
      <c r="C41">
        <v>40</v>
      </c>
      <c r="D41">
        <f>C41*B41</f>
        <v>20000</v>
      </c>
    </row>
  </sheetData>
  <mergeCells count="2">
    <mergeCell ref="B8:D8"/>
    <mergeCell ref="B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0.38</v>
      </c>
      <c r="C5" s="33">
        <f>Sheet1!F4</f>
        <v>9.6028472053708652E-2</v>
      </c>
      <c r="D5" s="33">
        <f>Sheet1!G4</f>
        <v>0.22</v>
      </c>
      <c r="E5" s="33">
        <f>Sheet1!H4</f>
        <v>0.39615059221658205</v>
      </c>
      <c r="F5" s="33">
        <f>Sheet1!I4</f>
        <v>0.2</v>
      </c>
      <c r="G5" s="33">
        <f>Sheet1!J4</f>
        <v>0.3</v>
      </c>
      <c r="H5" s="33">
        <f>Sheet1!K4</f>
        <v>0.1</v>
      </c>
      <c r="I5" s="33">
        <f>Sheet1!L4</f>
        <v>0.02</v>
      </c>
      <c r="J5" s="33">
        <f>Sheet1!M4</f>
        <v>0.02</v>
      </c>
      <c r="K5" s="33">
        <f>Sheet1!N4</f>
        <v>0.08</v>
      </c>
      <c r="L5" s="33">
        <f>Sheet1!O4</f>
        <v>0.18121790642702906</v>
      </c>
      <c r="M5" s="33">
        <f>Sheet1!P4</f>
        <v>0</v>
      </c>
      <c r="N5" s="33">
        <f>Sheet1!Q4</f>
        <v>5.9801909120919601E-2</v>
      </c>
      <c r="O5" s="33">
        <f>Sheet1!R4</f>
        <v>0</v>
      </c>
      <c r="P5" s="33">
        <f>Sheet1!S4</f>
        <v>2.0531988798182397</v>
      </c>
    </row>
    <row r="9" spans="2:16" ht="28.95" customHeight="1" x14ac:dyDescent="0.3">
      <c r="C9" s="58" t="s">
        <v>41</v>
      </c>
      <c r="D9" s="58"/>
    </row>
    <row r="10" spans="2:16" x14ac:dyDescent="0.3">
      <c r="C10" s="34" t="str">
        <f>F4</f>
        <v xml:space="preserve">Mechanical installation </v>
      </c>
      <c r="D10" s="35">
        <f>F5</f>
        <v>0.2</v>
      </c>
    </row>
    <row r="11" spans="2:16" x14ac:dyDescent="0.3">
      <c r="C11" s="34" t="str">
        <f>G4</f>
        <v xml:space="preserve">Electrical Installation </v>
      </c>
      <c r="D11" s="35">
        <f>G5</f>
        <v>0.3</v>
      </c>
    </row>
    <row r="12" spans="2:16" x14ac:dyDescent="0.3">
      <c r="C12" s="34" t="str">
        <f>H4</f>
        <v xml:space="preserve">Civil </v>
      </c>
      <c r="D12" s="35">
        <f>H5</f>
        <v>0.1</v>
      </c>
    </row>
    <row r="13" spans="2:16" x14ac:dyDescent="0.3">
      <c r="C13" s="37" t="s">
        <v>47</v>
      </c>
      <c r="D13" s="38">
        <f>SUM(D10:D12)</f>
        <v>0.6</v>
      </c>
    </row>
    <row r="14" spans="2:16" x14ac:dyDescent="0.3">
      <c r="C14" s="37"/>
      <c r="D14" s="38"/>
    </row>
    <row r="15" spans="2:16" ht="15" x14ac:dyDescent="0.3">
      <c r="C15" s="58" t="s">
        <v>46</v>
      </c>
      <c r="D15" s="58"/>
    </row>
    <row r="16" spans="2:16" x14ac:dyDescent="0.3">
      <c r="C16" s="34" t="str">
        <f>Sheet1!F34</f>
        <v>Foundation Installation</v>
      </c>
      <c r="D16" s="36">
        <f>Sheet1!I34</f>
        <v>0.26868397052565568</v>
      </c>
    </row>
    <row r="17" spans="3:4" x14ac:dyDescent="0.3">
      <c r="C17" s="34" t="str">
        <f>Sheet1!F35</f>
        <v>Racking, Under Decking,</v>
      </c>
      <c r="D17" s="36">
        <f>Sheet1!I35</f>
        <v>0.4140341732177652</v>
      </c>
    </row>
    <row r="18" spans="3:4" x14ac:dyDescent="0.3">
      <c r="C18" s="34" t="str">
        <f>Sheet1!F36</f>
        <v>Panel Installation</v>
      </c>
      <c r="D18" s="36">
        <f>Sheet1!I36</f>
        <v>0.11762334654751506</v>
      </c>
    </row>
    <row r="19" spans="3:4" x14ac:dyDescent="0.3">
      <c r="C19" s="37" t="s">
        <v>47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8df3e3f0f1831d2e213e32097dcc28e3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1b02d042249523f5a5e3f11db7c8f2fb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19F49959-F253-43A1-9DFB-A56B230EA6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a276e47-e5b5-46a7-96f7-0cc22626e988"/>
    <ds:schemaRef ds:uri="1d1b5a05-9490-43fc-9196-008d2e8cb0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2025-11-19T12:16:50Z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