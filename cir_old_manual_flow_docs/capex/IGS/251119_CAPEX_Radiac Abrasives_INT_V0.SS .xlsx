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22" documentId="8_{0A602AED-51D8-4002-B8AF-EEADE992CD1B}" xr6:coauthVersionLast="47" xr6:coauthVersionMax="47" xr10:uidLastSave="{53B1A95E-7AC9-4A5A-AFCB-D6F28FC38DB8}"/>
  <bookViews>
    <workbookView xWindow="-108" yWindow="-108" windowWidth="23256" windowHeight="12456" activeTab="1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H4" i="1" s="1"/>
  <c r="O4" i="1" s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<sst xmlns="http://schemas.openxmlformats.org/spreadsheetml/2006/main" count="80" uniqueCount="67">
  <si>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</si>
  <si>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</si>
  <si>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</si>
  <si>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</si>
  <si>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</si>
  <si>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</si>
  <si>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</si>
  <si>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</si>
  <si>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</si>
  <si>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</si>
  <si>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</si>
  <si>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</si>
  <si>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</si>
  <si>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</si>
  <si>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</si>
  <si>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</si>
  <si>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</si>
  <si>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</si>
  <si>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</si>
  <si>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</si>
  <si>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</si>
  <si>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</si>
  <si>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</si>
  <si>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</si>
  <si>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</si>
  <si>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</si>
  <si>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</si>
  <si>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</si>
  <si>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</si>
  <si>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</si>
  <si>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</si>
  <si>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</si>
  <si>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</si>
  <si>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</si>
  <si>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</si>
  <si>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</si>
  <si>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</si>
  <si>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</si>
  <si>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</si>
  <si>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</si>
  <si>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</si>
  <si>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</si>
  <si>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</si>
  <si>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</si>
  <si>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</si>
  <si>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</si>
  <si>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</si>
  <si>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</si>
  <si>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</si>
  <si>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</si>
  <si>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</si>
  <si>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</si>
  <si>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</si>
  <si>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</si>
  <si>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</si>
  <si>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</si>
  <si>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</si>
  <si>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</si>
  <si>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</si>
  <si>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</si>
  <si>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</si>
  <si>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</si>
  <si>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</si>
  <si>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</si>
  <si>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</si>
  <si>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</si>
  <si>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Radiac Abrasives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</si>
</sst>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workbookViewId="0">
      <selection activeCell="B4" sqref="B4:D4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2430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v>500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923400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233349.18709051204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534600</v>
      </c>
      <c r="D9" s="46">
        <f>Sheet1!D24</f>
        <v>0.22</v>
      </c>
    </row>
    <row r="10" spans="2:6" x14ac:dyDescent="0.3">
      <c r="B10" s="40" t="str">
        <f>Sheet1!B25</f>
        <v>BOS</v>
      </c>
      <c r="C10" s="45">
        <f>Sheet1!C25</f>
        <v>961250</v>
      </c>
      <c r="D10" s="46">
        <f>Sheet1!D25</f>
        <v>0.39557613168724282</v>
      </c>
    </row>
    <row r="11" spans="2:6" x14ac:dyDescent="0.3">
      <c r="B11" s="40" t="str">
        <f>Sheet1!B26</f>
        <v xml:space="preserve">Mechanical installation </v>
      </c>
      <c r="C11" s="45">
        <f>Sheet1!C26</f>
        <v>486000</v>
      </c>
      <c r="D11" s="46">
        <f>Sheet1!D26</f>
        <v>0.2</v>
      </c>
    </row>
    <row r="12" spans="2:6" x14ac:dyDescent="0.3">
      <c r="B12" s="40" t="str">
        <f>Sheet1!B27</f>
        <v xml:space="preserve">Electrical Installation </v>
      </c>
      <c r="C12" s="45">
        <f>Sheet1!C27</f>
        <v>729000</v>
      </c>
      <c r="D12" s="46">
        <f>Sheet1!D27</f>
        <v>0.3</v>
      </c>
    </row>
    <row r="13" spans="2:6" x14ac:dyDescent="0.3">
      <c r="B13" s="40" t="str">
        <f>Sheet1!B28</f>
        <v xml:space="preserve">Civil </v>
      </c>
      <c r="C13" s="45">
        <f>Sheet1!C28</f>
        <v>243000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48600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48600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194400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440219.91870905121</v>
      </c>
      <c r="D17" s="46">
        <f>Sheet1!D32</f>
        <v>0.18116046037409517</v>
      </c>
    </row>
    <row r="18" spans="2:4" x14ac:dyDescent="0.3">
      <c r="B18" s="40" t="str">
        <f>Sheet1!B34</f>
        <v xml:space="preserve">Contingency Amount </v>
      </c>
      <c r="C18" s="45">
        <f>Sheet1!C34</f>
        <v>145272.57317398692</v>
      </c>
      <c r="D18" s="46">
        <f>Sheet1!D34</f>
        <v>5.9782951923451406E-2</v>
      </c>
    </row>
    <row r="19" spans="2:4" ht="15" thickBot="1" x14ac:dyDescent="0.35">
      <c r="B19" s="42" t="str">
        <f>Sheet1!B36</f>
        <v>Total $/Wp</v>
      </c>
      <c r="C19" s="43">
        <f>Sheet1!C36</f>
        <v>4987691.67897355</v>
      </c>
      <c r="D19" s="44">
        <f>Sheet1!D36</f>
        <v>2.0525480160384983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tabSelected="1" workbookViewId="0">
      <selection activeCell="F4" sqref="F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0.22</v>
      </c>
      <c r="H4" s="28">
        <f>0.375+J39</f>
        <v>0.39557613168724282</v>
      </c>
      <c r="I4" s="28">
        <v>0.2</v>
      </c>
      <c r="J4" s="28">
        <v>0.3</v>
      </c>
      <c r="K4" s="28">
        <v>0.1</v>
      </c>
      <c r="L4" s="28">
        <v>0.02</v>
      </c>
      <c r="M4" s="28">
        <v>0.02</v>
      </c>
      <c r="N4" s="28">
        <v>0.08</v>
      </c>
      <c r="O4" s="28">
        <f>SUM(E4:H4)*10%+SUM(I4:N4)*10%</f>
        <v>0.18116046037409517</v>
      </c>
      <c r="P4" s="28">
        <v>0</v>
      </c>
      <c r="Q4" s="28">
        <f>SUM(E4:O4)*B4</f>
        <v>5.9782951923451406E-2</v>
      </c>
      <c r="R4" s="28">
        <v>0</v>
      </c>
      <c r="S4" s="17">
        <f>SUM(E4:R4)</f>
        <v>2.0525480160384983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163191.6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2500</v>
      </c>
    </row>
    <row r="11" spans="2:22" hidden="1" x14ac:dyDescent="0.3">
      <c r="B11" s="7" t="s">
        <v>29</v>
      </c>
      <c r="C11" s="6">
        <f>D11*$C$9*1000</f>
        <v>809730.46296296292</v>
      </c>
      <c r="D11" s="9">
        <f>E4+F4+G4+H4</f>
        <v>1.0916046037409515</v>
      </c>
      <c r="E11" s="18">
        <f>D11/$D$17</f>
        <v>0.53182902188461012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445068</v>
      </c>
      <c r="D12" s="10">
        <f>I4+J4+K4</f>
        <v>0.6</v>
      </c>
      <c r="E12" s="18">
        <f t="shared" ref="E12:E16" si="2">D12/$D$17</f>
        <v>0.29231959267779989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1.9487972845186659E-2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3.8975945690373319E-2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134381.20629629632</v>
      </c>
      <c r="D15" s="10">
        <f>O4</f>
        <v>0.18116046037409517</v>
      </c>
      <c r="E15" s="18">
        <f t="shared" si="2"/>
        <v>8.8261253309797019E-2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44345.798077777778</v>
      </c>
      <c r="D16" s="10">
        <f>Q4</f>
        <v>5.9782951923451406E-2</v>
      </c>
      <c r="E16" s="18">
        <f t="shared" si="2"/>
        <v>2.9126213592233014E-2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1522539.0673370368</v>
      </c>
      <c r="D17" s="14">
        <f>SUM(D11:D16)</f>
        <v>2.0525480160384979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2430</v>
      </c>
      <c r="D20" s="8" t="s">
        <v>25</v>
      </c>
      <c r="E20" s="21">
        <f>C20/C21</f>
        <v>1.2150000000000001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2000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923400</v>
      </c>
      <c r="D22" s="10">
        <f>E4</f>
        <v>0.38</v>
      </c>
      <c r="E22" s="18">
        <f t="shared" ref="E22:E27" si="4">D22/$D$28</f>
        <v>3.8</v>
      </c>
      <c r="F22" t="s">
        <v>26</v>
      </c>
      <c r="G22">
        <f>C20/H22*1000</f>
        <v>4860</v>
      </c>
      <c r="H22">
        <v>500</v>
      </c>
      <c r="I22">
        <f>H22*G22/1000</f>
        <v>2430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233349.18709051204</v>
      </c>
      <c r="D23" s="10">
        <f>F4</f>
        <v>9.6028472053708652E-2</v>
      </c>
      <c r="E23" s="18">
        <f t="shared" si="4"/>
        <v>0.96028472053708647</v>
      </c>
      <c r="F23" t="s">
        <v>27</v>
      </c>
      <c r="G23">
        <v>8</v>
      </c>
      <c r="H23">
        <v>275</v>
      </c>
      <c r="I23">
        <f>H23*G23</f>
        <v>2200</v>
      </c>
      <c r="J23">
        <f>J13</f>
        <v>10000</v>
      </c>
      <c r="K23" s="20">
        <f>J23*G23</f>
        <v>80000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534600</v>
      </c>
      <c r="D24" s="10">
        <f>G4</f>
        <v>0.22</v>
      </c>
      <c r="E24" s="18">
        <f t="shared" si="4"/>
        <v>2.1999999999999997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961250</v>
      </c>
      <c r="D25" s="10">
        <f>H4</f>
        <v>0.39557613168724282</v>
      </c>
      <c r="E25" s="18">
        <f t="shared" si="4"/>
        <v>3.9557613168724282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486000</v>
      </c>
      <c r="D26" s="10">
        <f>I4</f>
        <v>0.2</v>
      </c>
      <c r="E26" s="18">
        <f t="shared" si="4"/>
        <v>2</v>
      </c>
      <c r="G26" s="20"/>
      <c r="H26" s="20"/>
      <c r="I26" s="21"/>
      <c r="J26">
        <v>155</v>
      </c>
      <c r="K26" s="20">
        <f>J26*G23+G24*J26</f>
        <v>1240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729000</v>
      </c>
      <c r="D27" s="10">
        <f>J4</f>
        <v>0.3</v>
      </c>
      <c r="E27" s="18">
        <f t="shared" si="4"/>
        <v>2.9999999999999996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243000</v>
      </c>
      <c r="D28" s="10">
        <f>K4</f>
        <v>0.1</v>
      </c>
      <c r="E28" s="18"/>
      <c r="J28">
        <v>90</v>
      </c>
      <c r="K28" s="20">
        <f>J28*(G23+G24)</f>
        <v>720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48600</v>
      </c>
      <c r="D29" s="10">
        <f>L4</f>
        <v>0.02</v>
      </c>
      <c r="E29" s="18"/>
      <c r="G29">
        <f>G22/2</f>
        <v>2430</v>
      </c>
      <c r="J29">
        <v>22</v>
      </c>
      <c r="K29" s="20">
        <f>J29*G29</f>
        <v>53460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48600</v>
      </c>
      <c r="D30" s="10">
        <f>M4</f>
        <v>0.02</v>
      </c>
      <c r="E30" s="18"/>
      <c r="K30" s="20">
        <f>SUM(K23:K29)</f>
        <v>137945</v>
      </c>
      <c r="L30" s="21">
        <f>K30/C20/1000</f>
        <v>5.6767489711934155E-2</v>
      </c>
    </row>
    <row r="31" spans="2:12" x14ac:dyDescent="0.3">
      <c r="B31" s="7" t="str">
        <f>N2</f>
        <v xml:space="preserve">Overhead </v>
      </c>
      <c r="C31" s="5">
        <f t="shared" si="5"/>
        <v>194400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440219.91870905121</v>
      </c>
      <c r="D32" s="10">
        <f>O4</f>
        <v>0.18116046037409517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145272.57317398692</v>
      </c>
      <c r="D34" s="10">
        <f>Q4</f>
        <v>5.9782951923451406E-2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4987691.67897355</v>
      </c>
      <c r="D36" s="14">
        <f>SUM(D22:D35)</f>
        <v>2.0525480160384983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2.0576131687242798E-2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0.22</v>
      </c>
      <c r="E5" s="33">
        <f>Sheet1!H4</f>
        <v>0.39557613168724282</v>
      </c>
      <c r="F5" s="33">
        <f>Sheet1!I4</f>
        <v>0.2</v>
      </c>
      <c r="G5" s="33">
        <f>Sheet1!J4</f>
        <v>0.3</v>
      </c>
      <c r="H5" s="33">
        <f>Sheet1!K4</f>
        <v>0.1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0.18116046037409517</v>
      </c>
      <c r="M5" s="33">
        <f>Sheet1!P4</f>
        <v>0</v>
      </c>
      <c r="N5" s="33">
        <f>Sheet1!Q4</f>
        <v>5.9782951923451406E-2</v>
      </c>
      <c r="O5" s="33">
        <f>Sheet1!R4</f>
        <v>0</v>
      </c>
      <c r="P5" s="33">
        <f>Sheet1!S4</f>
        <v>2.0525480160384983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</v>
      </c>
    </row>
    <row r="11" spans="2:16" x14ac:dyDescent="0.3">
      <c r="C11" s="34" t="str">
        <f>G4</f>
        <v xml:space="preserve">Electrical Installation </v>
      </c>
      <c r="D11" s="35">
        <f>G5</f>
        <v>0.3</v>
      </c>
    </row>
    <row r="12" spans="2:16" x14ac:dyDescent="0.3">
      <c r="C12" s="34" t="str">
        <f>H4</f>
        <v xml:space="preserve">Civil </v>
      </c>
      <c r="D12" s="35">
        <f>H5</f>
        <v>0.1</v>
      </c>
    </row>
    <row r="13" spans="2:16" x14ac:dyDescent="0.3">
      <c r="C13" s="37" t="s">
        <v>47</v>
      </c>
      <c r="D13" s="38">
        <f>SUM(D10:D12)</f>
        <v>0.6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8df3e3f0f1831d2e213e32097dcc28e3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1b02d042249523f5a5e3f11db7c8f2fb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F49959-F253-43A1-9DFB-A56B230EA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2025-11-19T12:30:35Z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