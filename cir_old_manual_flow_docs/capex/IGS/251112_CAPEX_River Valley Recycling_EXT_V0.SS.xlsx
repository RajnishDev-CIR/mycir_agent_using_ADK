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9" documentId="8_{C90DF9FB-2F56-4FEA-9949-C4111913C71E}" xr6:coauthVersionLast="47" xr6:coauthVersionMax="47" xr10:uidLastSave="{A0DB031C-F385-49C3-ACBB-E6DC95E90D3D}"/>
  <bookViews>
    <workbookView xWindow="-108" yWindow="-108" windowWidth="23256" windowHeight="12456" xr2:uid="{7A38C1AE-DA5B-4346-B84E-141EDE79E602}"/>
  </bookViews>
  <sheets>
    <sheet name="River Valley" sheetId="1" r:id="rId1"/>
    <sheet name="Marengo" sheetId="2" r:id="rId2"/>
    <sheet name="Viscofan" sheetId="3" r:id="rId3"/>
    <sheet name="Sheet3" sheetId="4" r:id="rId4"/>
  </sheets>
  <externalReferences>
    <externalReference r:id="rId5"/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B6" i="3"/>
  <c r="D5" i="3"/>
  <c r="C5" i="3"/>
  <c r="B5" i="3"/>
  <c r="B4" i="3"/>
  <c r="D19" i="2" l="1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B6" i="2"/>
  <c r="D5" i="2"/>
  <c r="C5" i="2"/>
  <c r="B5" i="2"/>
  <c r="B4" i="2"/>
</calcChain>
</file>

<file path=xl/sharedStrings.xml><?xml version="1.0" encoding="utf-8"?>
<sst xmlns="http://schemas.openxmlformats.org/spreadsheetml/2006/main" count="96" uniqueCount="40">
  <si>
    <t>Projwect Name : River Valley Recycling 2025 288 West South Tec Drive c, Kankakee, IL 60901, USA</t>
  </si>
  <si>
    <t>Projwect Name : Marengo</t>
  </si>
  <si>
    <t>Projwect Name : Viscofan</t>
  </si>
  <si>
    <t xml:space="preserve">Type of System -Rooftop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</si>
  <si>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</si>
  <si>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</si>
  <si>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</si>
  <si>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</si>
  <si>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</si>
  <si>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</si>
  <si>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</si>
  <si>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</si>
  <si>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</si>
  <si>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</si>
  <si>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</si>
  <si>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</si>
  <si>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</si>
  <si>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</si>
  <si>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</si>
  <si>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</si>
  <si>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</si>
  <si>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</si>
  <si>
    <t xml:space="preserve">Note- </t>
  </si>
  <si>
    <t xml:space="preserve">Currently, we have used a module price of $0.45/Wp for Heline as it will be domestic content.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</si>
  <si>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</si>
  <si>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</si>
  <si>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</si>
  <si>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</si>
  <si>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</si>
  <si>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</si>
  <si>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a 20% margin on installation.</t>
  </si>
  <si>
    <t xml:space="preserve">5% of contingency is considered in the above cost </t>
  </si>
  <si>
    <t>Includes one mobilization and one demobilization.</t>
  </si>
  <si>
    <t xml:space="preserve">POI location is at inverter level only </t>
  </si>
  <si>
    <t xml:space="preserve">Currently, we have used a module price of $0.43/Wp for Heline as it will be domestic content. Please let us know if this needs to be updated. </t>
  </si>
  <si>
    <t xml:space="preserve">5% of contingency is consdiered in the above cost 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</si>
  <si>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</si>
  <si>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</si>
  <si>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</si>
  <si>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We have considered the cost associsted with zero-export (limiting)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</si>
</sst>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1463040</xdr:colOff>
      <xdr:row>1</xdr:row>
      <xdr:rowOff>241680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9BE20-C79B-4184-B59D-C20B5817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21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1451610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2EAB6-EF9C-4364-8FAE-EF0FEC34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1451610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06A8C-7EBE-49F7-AB21-992EC8F7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eantechindustryresources.sharepoint.com/sites/CleantechIndustryResources/Shared%20Documents/PROCESS/WORKING/SS/IGS/251119_CAPEX_Marengo_INT_V0.SS.xlsx" TargetMode="External"/><Relationship Id="rId1" Type="http://schemas.openxmlformats.org/officeDocument/2006/relationships/externalLinkPath" Target="251119_CAPEX_Marengo_INT_V0.S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eantechindustryresources.sharepoint.com/sites/CleantechIndustryResources/Shared%20Documents/PROCESS/WORKING/SS/IGS/251119_CAPEX_Viscofan_INT_V0.SS%20-%20Copy.xlsx" TargetMode="External"/><Relationship Id="rId1" Type="http://schemas.openxmlformats.org/officeDocument/2006/relationships/externalLinkPath" Target="251119_CAPEX_Viscofan_INT_V0.S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heet3"/>
    </sheetNames>
    <sheetDataSet>
      <sheetData sheetId="0" refreshError="1"/>
      <sheetData sheetId="1">
        <row r="20">
          <cell r="B20" t="str">
            <v xml:space="preserve">Type of System -Rooftop </v>
          </cell>
        </row>
        <row r="21">
          <cell r="B21" t="str">
            <v xml:space="preserve">DC </v>
          </cell>
          <cell r="C21">
            <v>861</v>
          </cell>
          <cell r="D21" t="str">
            <v>KWp</v>
          </cell>
        </row>
        <row r="22">
          <cell r="B22" t="str">
            <v xml:space="preserve">AC </v>
          </cell>
          <cell r="D22" t="str">
            <v>KW</v>
          </cell>
        </row>
        <row r="23">
          <cell r="B23" t="str">
            <v xml:space="preserve">Module Price </v>
          </cell>
          <cell r="C23">
            <v>370230</v>
          </cell>
          <cell r="D23">
            <v>0.43</v>
          </cell>
        </row>
        <row r="24">
          <cell r="B24" t="str">
            <v>Inverter Price</v>
          </cell>
          <cell r="C24">
            <v>82680.514438243146</v>
          </cell>
          <cell r="D24">
            <v>9.6028472053708652E-2</v>
          </cell>
        </row>
        <row r="25">
          <cell r="B25" t="str">
            <v xml:space="preserve">Structure Price  </v>
          </cell>
          <cell r="C25">
            <v>301349.99999999994</v>
          </cell>
          <cell r="D25">
            <v>0.35</v>
          </cell>
        </row>
        <row r="26">
          <cell r="B26" t="str">
            <v>BOS</v>
          </cell>
          <cell r="C26">
            <v>378840</v>
          </cell>
          <cell r="D26">
            <v>0.44</v>
          </cell>
        </row>
        <row r="27">
          <cell r="B27" t="str">
            <v xml:space="preserve">Mechanical installation </v>
          </cell>
          <cell r="C27">
            <v>215250</v>
          </cell>
          <cell r="D27">
            <v>0.25</v>
          </cell>
        </row>
        <row r="28">
          <cell r="B28" t="str">
            <v xml:space="preserve">Electrical Installation </v>
          </cell>
          <cell r="C28">
            <v>387450</v>
          </cell>
          <cell r="D28">
            <v>0.45</v>
          </cell>
        </row>
        <row r="29">
          <cell r="B29" t="str">
            <v xml:space="preserve">Civil </v>
          </cell>
          <cell r="C29">
            <v>17220</v>
          </cell>
          <cell r="D29">
            <v>0.02</v>
          </cell>
        </row>
        <row r="30">
          <cell r="B30" t="str">
            <v xml:space="preserve">Engineering </v>
          </cell>
          <cell r="C30">
            <v>77490</v>
          </cell>
          <cell r="D30">
            <v>0.09</v>
          </cell>
        </row>
        <row r="31">
          <cell r="B31" t="str">
            <v xml:space="preserve">Permitting </v>
          </cell>
          <cell r="C31">
            <v>43050.000000000007</v>
          </cell>
          <cell r="D31">
            <v>0.05</v>
          </cell>
        </row>
        <row r="32">
          <cell r="B32" t="str">
            <v xml:space="preserve">Overhead </v>
          </cell>
          <cell r="C32">
            <v>120540</v>
          </cell>
          <cell r="D32">
            <v>0.14000000000000001</v>
          </cell>
        </row>
        <row r="33">
          <cell r="B33" t="str">
            <v xml:space="preserve">Margin </v>
          </cell>
          <cell r="C33">
            <v>285510.05144382431</v>
          </cell>
          <cell r="D33">
            <v>0.33160284720537087</v>
          </cell>
        </row>
        <row r="35">
          <cell r="B35" t="str">
            <v xml:space="preserve">Contingency Amount </v>
          </cell>
          <cell r="C35">
            <v>113980.52829410337</v>
          </cell>
          <cell r="D35">
            <v>0.13238156596295397</v>
          </cell>
        </row>
        <row r="37">
          <cell r="B37" t="str">
            <v>Total $/Wp</v>
          </cell>
          <cell r="C37">
            <v>2393591.0941761704</v>
          </cell>
          <cell r="D37">
            <v>2.7800128852220332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Sheet1"/>
      <sheetName val="Sheet3"/>
    </sheetNames>
    <sheetDataSet>
      <sheetData sheetId="0"/>
      <sheetData sheetId="1">
        <row r="19">
          <cell r="B19" t="str">
            <v>Type of System -Ground Mount</v>
          </cell>
        </row>
        <row r="20">
          <cell r="B20" t="str">
            <v xml:space="preserve">DC </v>
          </cell>
          <cell r="C20">
            <v>2364</v>
          </cell>
          <cell r="D20" t="str">
            <v>KWp</v>
          </cell>
        </row>
        <row r="21">
          <cell r="B21" t="str">
            <v xml:space="preserve">AC </v>
          </cell>
          <cell r="D21" t="str">
            <v>KW</v>
          </cell>
        </row>
        <row r="22">
          <cell r="B22" t="str">
            <v xml:space="preserve">Module Price </v>
          </cell>
          <cell r="C22">
            <v>898320</v>
          </cell>
          <cell r="D22">
            <v>0.38</v>
          </cell>
        </row>
        <row r="23">
          <cell r="B23" t="str">
            <v>Inverter Price</v>
          </cell>
          <cell r="C23">
            <v>227011.30793496725</v>
          </cell>
          <cell r="D23">
            <v>9.6028472053708652E-2</v>
          </cell>
        </row>
        <row r="24">
          <cell r="B24" t="str">
            <v xml:space="preserve">Structure Price  </v>
          </cell>
          <cell r="C24">
            <v>520080.00000000006</v>
          </cell>
          <cell r="D24">
            <v>0.22</v>
          </cell>
        </row>
        <row r="25">
          <cell r="B25" t="str">
            <v>BOS</v>
          </cell>
          <cell r="C25">
            <v>936500</v>
          </cell>
          <cell r="D25">
            <v>0.39615059221658205</v>
          </cell>
        </row>
        <row r="26">
          <cell r="B26" t="str">
            <v xml:space="preserve">Mechanical installation </v>
          </cell>
          <cell r="C26">
            <v>472800</v>
          </cell>
          <cell r="D26">
            <v>0.2</v>
          </cell>
        </row>
        <row r="27">
          <cell r="B27" t="str">
            <v xml:space="preserve">Electrical Installation </v>
          </cell>
          <cell r="C27">
            <v>709199.99999999988</v>
          </cell>
          <cell r="D27">
            <v>0.3</v>
          </cell>
        </row>
        <row r="28">
          <cell r="B28" t="str">
            <v xml:space="preserve">Civil </v>
          </cell>
          <cell r="C28">
            <v>236400</v>
          </cell>
          <cell r="D28">
            <v>0.1</v>
          </cell>
        </row>
        <row r="29">
          <cell r="B29" t="str">
            <v xml:space="preserve">Engineering </v>
          </cell>
          <cell r="C29">
            <v>47280</v>
          </cell>
          <cell r="D29">
            <v>0.02</v>
          </cell>
        </row>
        <row r="30">
          <cell r="B30" t="str">
            <v xml:space="preserve">Permitting </v>
          </cell>
          <cell r="C30">
            <v>47280</v>
          </cell>
          <cell r="D30">
            <v>0.02</v>
          </cell>
        </row>
        <row r="31">
          <cell r="B31" t="str">
            <v xml:space="preserve">Overhead </v>
          </cell>
          <cell r="C31">
            <v>189120</v>
          </cell>
          <cell r="D31">
            <v>0.08</v>
          </cell>
        </row>
        <row r="32">
          <cell r="B32" t="str">
            <v xml:space="preserve">Margin </v>
          </cell>
          <cell r="C32">
            <v>428399.13079349668</v>
          </cell>
          <cell r="D32">
            <v>0.18121790642702906</v>
          </cell>
        </row>
        <row r="34">
          <cell r="B34" t="str">
            <v xml:space="preserve">Contingency Amount </v>
          </cell>
          <cell r="C34">
            <v>141371.71316185393</v>
          </cell>
          <cell r="D34">
            <v>5.9801909120919601E-2</v>
          </cell>
        </row>
        <row r="36">
          <cell r="B36" t="str">
            <v>Total $/Wp</v>
          </cell>
          <cell r="C36">
            <v>4853762.1518903188</v>
          </cell>
          <cell r="D36">
            <v>2.0531988798182397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B5F2-5EE8-462D-ACDE-91A5D4EBDBCC}">
  <dimension ref="B1:J32"/>
  <sheetViews>
    <sheetView showGridLines="0" tabSelected="1" workbookViewId="0">
      <selection activeCell="C1" sqref="C1:D3"/>
    </sheetView>
  </sheetViews>
  <sheetFormatPr defaultColWidth="8.7109375" defaultRowHeight="14.45"/>
  <cols>
    <col min="1" max="1" width="8.7109375" style="2"/>
    <col min="2" max="2" width="22.42578125" style="2" bestFit="1" customWidth="1"/>
    <col min="3" max="3" width="16.7109375" style="2" bestFit="1" customWidth="1"/>
    <col min="4" max="4" width="12.7109375" style="2" customWidth="1"/>
    <col min="5" max="5" width="22.42578125" style="2" bestFit="1" customWidth="1"/>
    <col min="6" max="6" width="16.7109375" style="2" bestFit="1" customWidth="1"/>
    <col min="7" max="7" width="12.7109375" style="2" customWidth="1"/>
    <col min="8" max="8" width="22.42578125" style="2" bestFit="1" customWidth="1"/>
    <col min="9" max="9" width="16.7109375" style="2" bestFit="1" customWidth="1"/>
    <col min="10" max="10" width="12.7109375" style="2" customWidth="1"/>
    <col min="11" max="16384" width="8.7109375" style="2"/>
  </cols>
  <sheetData>
    <row r="1" spans="2:10" ht="24" customHeight="1">
      <c r="B1" s="1"/>
      <c r="C1" s="14" t="s">
        <v>0</v>
      </c>
      <c r="D1" s="15"/>
      <c r="E1" s="1"/>
      <c r="F1" s="14" t="s">
        <v>1</v>
      </c>
      <c r="G1" s="15"/>
      <c r="H1" s="1"/>
      <c r="I1" s="14" t="s">
        <v>2</v>
      </c>
      <c r="J1" s="15"/>
    </row>
    <row r="2" spans="2:10" ht="24" customHeight="1">
      <c r="B2" s="20"/>
      <c r="C2" s="16"/>
      <c r="D2" s="17"/>
      <c r="E2" s="20"/>
      <c r="F2" s="16"/>
      <c r="G2" s="17"/>
      <c r="H2" s="20"/>
      <c r="I2" s="16"/>
      <c r="J2" s="17"/>
    </row>
    <row r="3" spans="2:10" ht="27" customHeight="1">
      <c r="B3" s="20"/>
      <c r="C3" s="18"/>
      <c r="D3" s="19"/>
      <c r="E3" s="20"/>
      <c r="F3" s="18"/>
      <c r="G3" s="19"/>
      <c r="H3" s="20"/>
      <c r="I3" s="18"/>
      <c r="J3" s="19"/>
    </row>
    <row r="4" spans="2:10">
      <c r="B4" s="21" t="s">
        <v>3</v>
      </c>
      <c r="C4" s="22"/>
      <c r="D4" s="23"/>
      <c r="E4" s="21" t="s">
        <v>3</v>
      </c>
      <c r="F4" s="22"/>
      <c r="G4" s="23"/>
      <c r="H4" s="21" t="s">
        <v>4</v>
      </c>
      <c r="I4" s="22"/>
      <c r="J4" s="23"/>
    </row>
    <row r="5" spans="2:10">
      <c r="B5" s="3" t="s">
        <v>5</v>
      </c>
      <c r="C5" s="4">
        <v>741.78</v>
      </c>
      <c r="D5" s="5" t="s">
        <v>6</v>
      </c>
      <c r="E5" s="3" t="s">
        <v>5</v>
      </c>
      <c r="F5" s="4">
        <v>861</v>
      </c>
      <c r="G5" s="5" t="s">
        <v>6</v>
      </c>
      <c r="H5" s="3" t="s">
        <v>5</v>
      </c>
      <c r="I5" s="4">
        <v>2364</v>
      </c>
      <c r="J5" s="5" t="s">
        <v>6</v>
      </c>
    </row>
    <row r="6" spans="2:10">
      <c r="B6" s="3" t="s">
        <v>7</v>
      </c>
      <c r="C6" s="4">
        <v>500</v>
      </c>
      <c r="D6" s="5" t="s">
        <v>8</v>
      </c>
      <c r="E6" s="3" t="s">
        <v>7</v>
      </c>
      <c r="F6" s="4">
        <v>500</v>
      </c>
      <c r="G6" s="5" t="s">
        <v>8</v>
      </c>
      <c r="H6" s="3" t="s">
        <v>7</v>
      </c>
      <c r="I6" s="4">
        <v>500</v>
      </c>
      <c r="J6" s="5" t="s">
        <v>8</v>
      </c>
    </row>
    <row r="7" spans="2:10">
      <c r="B7" s="3" t="s">
        <v>9</v>
      </c>
      <c r="C7" s="6">
        <v>318965.39999999997</v>
      </c>
      <c r="D7" s="7">
        <v>0.43</v>
      </c>
      <c r="E7" s="3" t="s">
        <v>9</v>
      </c>
      <c r="F7" s="6">
        <v>370230</v>
      </c>
      <c r="G7" s="7">
        <v>0.43</v>
      </c>
      <c r="H7" s="3" t="s">
        <v>9</v>
      </c>
      <c r="I7" s="6">
        <v>898320</v>
      </c>
      <c r="J7" s="7">
        <v>0.38</v>
      </c>
    </row>
    <row r="8" spans="2:10">
      <c r="B8" s="3" t="s">
        <v>10</v>
      </c>
      <c r="C8" s="6">
        <v>71232</v>
      </c>
      <c r="D8" s="7">
        <v>9.6028472053708652E-2</v>
      </c>
      <c r="E8" s="3" t="s">
        <v>10</v>
      </c>
      <c r="F8" s="6">
        <v>82680.514438243146</v>
      </c>
      <c r="G8" s="7">
        <v>9.6028472053708652E-2</v>
      </c>
      <c r="H8" s="3" t="s">
        <v>10</v>
      </c>
      <c r="I8" s="6">
        <v>227011.30793496725</v>
      </c>
      <c r="J8" s="7">
        <v>9.6028472053708652E-2</v>
      </c>
    </row>
    <row r="9" spans="2:10">
      <c r="B9" s="3" t="s">
        <v>11</v>
      </c>
      <c r="C9" s="6">
        <v>259623</v>
      </c>
      <c r="D9" s="7">
        <v>0.35</v>
      </c>
      <c r="E9" s="3" t="s">
        <v>11</v>
      </c>
      <c r="F9" s="6">
        <v>301349.99999999994</v>
      </c>
      <c r="G9" s="7">
        <v>0.35</v>
      </c>
      <c r="H9" s="3" t="s">
        <v>11</v>
      </c>
      <c r="I9" s="6">
        <v>520080.00000000006</v>
      </c>
      <c r="J9" s="7">
        <v>0.22</v>
      </c>
    </row>
    <row r="10" spans="2:10">
      <c r="B10" s="3" t="s">
        <v>12</v>
      </c>
      <c r="C10" s="6">
        <v>333801</v>
      </c>
      <c r="D10" s="7">
        <v>0.45</v>
      </c>
      <c r="E10" s="3" t="s">
        <v>12</v>
      </c>
      <c r="F10" s="6">
        <v>378840</v>
      </c>
      <c r="G10" s="7">
        <v>0.44</v>
      </c>
      <c r="H10" s="3" t="s">
        <v>12</v>
      </c>
      <c r="I10" s="6">
        <v>936500</v>
      </c>
      <c r="J10" s="7">
        <v>0.39615059221658205</v>
      </c>
    </row>
    <row r="11" spans="2:10">
      <c r="B11" s="3" t="s">
        <v>13</v>
      </c>
      <c r="C11" s="6">
        <v>185445</v>
      </c>
      <c r="D11" s="7">
        <v>0.25</v>
      </c>
      <c r="E11" s="3" t="s">
        <v>13</v>
      </c>
      <c r="F11" s="6">
        <v>215250</v>
      </c>
      <c r="G11" s="7">
        <v>0.25</v>
      </c>
      <c r="H11" s="3" t="s">
        <v>13</v>
      </c>
      <c r="I11" s="6">
        <v>472800</v>
      </c>
      <c r="J11" s="7">
        <v>0.2</v>
      </c>
    </row>
    <row r="12" spans="2:10">
      <c r="B12" s="3" t="s">
        <v>14</v>
      </c>
      <c r="C12" s="6">
        <v>333801</v>
      </c>
      <c r="D12" s="7">
        <v>0.45</v>
      </c>
      <c r="E12" s="3" t="s">
        <v>14</v>
      </c>
      <c r="F12" s="6">
        <v>387450</v>
      </c>
      <c r="G12" s="7">
        <v>0.45</v>
      </c>
      <c r="H12" s="3" t="s">
        <v>14</v>
      </c>
      <c r="I12" s="6">
        <v>709199.99999999988</v>
      </c>
      <c r="J12" s="7">
        <v>0.3</v>
      </c>
    </row>
    <row r="13" spans="2:10">
      <c r="B13" s="3" t="s">
        <v>15</v>
      </c>
      <c r="C13" s="6">
        <v>37089</v>
      </c>
      <c r="D13" s="7">
        <v>0.05</v>
      </c>
      <c r="E13" s="3" t="s">
        <v>15</v>
      </c>
      <c r="F13" s="6">
        <v>17220</v>
      </c>
      <c r="G13" s="7">
        <v>0.02</v>
      </c>
      <c r="H13" s="3" t="s">
        <v>15</v>
      </c>
      <c r="I13" s="6">
        <v>236400</v>
      </c>
      <c r="J13" s="7">
        <v>0.1</v>
      </c>
    </row>
    <row r="14" spans="2:10">
      <c r="B14" s="3" t="s">
        <v>16</v>
      </c>
      <c r="C14" s="6">
        <v>66760.2</v>
      </c>
      <c r="D14" s="7">
        <v>0.09</v>
      </c>
      <c r="E14" s="3" t="s">
        <v>16</v>
      </c>
      <c r="F14" s="6">
        <v>77490</v>
      </c>
      <c r="G14" s="7">
        <v>0.09</v>
      </c>
      <c r="H14" s="3" t="s">
        <v>16</v>
      </c>
      <c r="I14" s="6">
        <v>47280</v>
      </c>
      <c r="J14" s="7">
        <v>0.02</v>
      </c>
    </row>
    <row r="15" spans="2:10">
      <c r="B15" s="3" t="s">
        <v>17</v>
      </c>
      <c r="C15" s="6">
        <v>37089</v>
      </c>
      <c r="D15" s="7">
        <v>0.05</v>
      </c>
      <c r="E15" s="3" t="s">
        <v>17</v>
      </c>
      <c r="F15" s="6">
        <v>43050.000000000007</v>
      </c>
      <c r="G15" s="7">
        <v>0.05</v>
      </c>
      <c r="H15" s="3" t="s">
        <v>17</v>
      </c>
      <c r="I15" s="6">
        <v>47280</v>
      </c>
      <c r="J15" s="7">
        <v>0.02</v>
      </c>
    </row>
    <row r="16" spans="2:10">
      <c r="B16" s="3" t="s">
        <v>18</v>
      </c>
      <c r="C16" s="6">
        <v>103849.20000000001</v>
      </c>
      <c r="D16" s="7">
        <v>0.14000000000000001</v>
      </c>
      <c r="E16" s="3" t="s">
        <v>18</v>
      </c>
      <c r="F16" s="6">
        <v>120540</v>
      </c>
      <c r="G16" s="7">
        <v>0.14000000000000001</v>
      </c>
      <c r="H16" s="3" t="s">
        <v>18</v>
      </c>
      <c r="I16" s="6">
        <v>189120</v>
      </c>
      <c r="J16" s="7">
        <v>0.08</v>
      </c>
    </row>
    <row r="17" spans="2:10">
      <c r="B17" s="3" t="s">
        <v>19</v>
      </c>
      <c r="C17" s="6">
        <v>251168.81999999998</v>
      </c>
      <c r="D17" s="7">
        <v>0.33860284720537087</v>
      </c>
      <c r="E17" s="3" t="s">
        <v>19</v>
      </c>
      <c r="F17" s="6">
        <v>285510.05144382431</v>
      </c>
      <c r="G17" s="7">
        <v>0.33160284720537087</v>
      </c>
      <c r="H17" s="3" t="s">
        <v>19</v>
      </c>
      <c r="I17" s="6">
        <v>428399.13079349668</v>
      </c>
      <c r="J17" s="7">
        <v>0.18121790642702906</v>
      </c>
    </row>
    <row r="18" spans="2:10">
      <c r="B18" s="3" t="s">
        <v>20</v>
      </c>
      <c r="C18" s="6">
        <v>99941.180999999982</v>
      </c>
      <c r="D18" s="7">
        <v>0.13473156596295396</v>
      </c>
      <c r="E18" s="3" t="s">
        <v>20</v>
      </c>
      <c r="F18" s="6">
        <v>113980.52829410337</v>
      </c>
      <c r="G18" s="7">
        <v>0.13238156596295397</v>
      </c>
      <c r="H18" s="3" t="s">
        <v>20</v>
      </c>
      <c r="I18" s="6">
        <v>141371.71316185393</v>
      </c>
      <c r="J18" s="7">
        <v>5.9801909120919601E-2</v>
      </c>
    </row>
    <row r="19" spans="2:10" ht="15" thickBot="1">
      <c r="B19" s="9" t="s">
        <v>21</v>
      </c>
      <c r="C19" s="10">
        <v>2098764.801</v>
      </c>
      <c r="D19" s="11">
        <v>2.8293628852220332</v>
      </c>
      <c r="E19" s="9" t="s">
        <v>21</v>
      </c>
      <c r="F19" s="10">
        <v>2393591.0941761704</v>
      </c>
      <c r="G19" s="11">
        <v>2.7800128852220332</v>
      </c>
      <c r="H19" s="9" t="s">
        <v>21</v>
      </c>
      <c r="I19" s="10">
        <v>4853762.1518903188</v>
      </c>
      <c r="J19" s="11">
        <v>2.0531988798182397</v>
      </c>
    </row>
    <row r="21" spans="2:10">
      <c r="B21" s="12" t="s">
        <v>22</v>
      </c>
      <c r="E21" s="12"/>
      <c r="H21" s="12"/>
    </row>
    <row r="22" spans="2:10">
      <c r="B22" s="2" t="s">
        <v>23</v>
      </c>
    </row>
    <row r="23" spans="2:10">
      <c r="B23" s="2" t="s">
        <v>24</v>
      </c>
    </row>
    <row r="24" spans="2:10">
      <c r="B24" s="2" t="s">
        <v>25</v>
      </c>
    </row>
    <row r="25" spans="2:10">
      <c r="B25" s="2" t="s">
        <v>26</v>
      </c>
    </row>
    <row r="26" spans="2:10">
      <c r="B26" s="2" t="s">
        <v>27</v>
      </c>
    </row>
    <row r="27" spans="2:10">
      <c r="B27" s="2" t="s">
        <v>28</v>
      </c>
    </row>
    <row r="28" spans="2:10">
      <c r="B28" s="2" t="s">
        <v>29</v>
      </c>
    </row>
    <row r="29" spans="2:10">
      <c r="B29" s="2" t="s">
        <v>30</v>
      </c>
    </row>
    <row r="30" spans="2:10">
      <c r="B30" s="2" t="s">
        <v>31</v>
      </c>
    </row>
    <row r="31" spans="2:10">
      <c r="B31" s="2" t="s">
        <v>32</v>
      </c>
    </row>
    <row r="32" spans="2:10">
      <c r="B32" s="2" t="s">
        <v>33</v>
      </c>
      <c r="D32" s="13"/>
      <c r="G32" s="13"/>
      <c r="J32" s="13"/>
    </row>
  </sheetData>
  <mergeCells count="9">
    <mergeCell ref="I1:J3"/>
    <mergeCell ref="H2:H3"/>
    <mergeCell ref="H4:J4"/>
    <mergeCell ref="C1:D3"/>
    <mergeCell ref="B2:B3"/>
    <mergeCell ref="B4:D4"/>
    <mergeCell ref="F1:G3"/>
    <mergeCell ref="E2:E3"/>
    <mergeCell ref="E4:G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3947-361B-4E5A-B01D-56DCDBF62162}">
  <dimension ref="B1:F32"/>
  <sheetViews>
    <sheetView workbookViewId="0">
      <selection activeCell="C1" sqref="B1:D19"/>
    </sheetView>
  </sheetViews>
  <sheetFormatPr defaultColWidth="8.7109375" defaultRowHeight="14.45"/>
  <cols>
    <col min="1" max="1" width="8.7109375" style="2"/>
    <col min="2" max="2" width="22.42578125" style="2" bestFit="1" customWidth="1"/>
    <col min="3" max="3" width="23.5703125" style="2" customWidth="1"/>
    <col min="4" max="4" width="11" style="2" customWidth="1"/>
    <col min="5" max="5" width="12.5703125" style="2" bestFit="1" customWidth="1"/>
    <col min="6" max="6" width="16.7109375" style="2" bestFit="1" customWidth="1"/>
    <col min="7" max="8" width="8.7109375" style="2" bestFit="1"/>
    <col min="9" max="16384" width="8.7109375" style="2"/>
  </cols>
  <sheetData>
    <row r="1" spans="2:6">
      <c r="B1" s="1"/>
      <c r="C1" s="24" t="s">
        <v>1</v>
      </c>
      <c r="D1" s="25"/>
    </row>
    <row r="2" spans="2:6">
      <c r="B2" s="20"/>
      <c r="C2" s="26"/>
      <c r="D2" s="27"/>
    </row>
    <row r="3" spans="2:6">
      <c r="B3" s="20"/>
      <c r="C3" s="26"/>
      <c r="D3" s="27"/>
    </row>
    <row r="4" spans="2:6">
      <c r="B4" s="28" t="str">
        <f>[1]Sheet1!B20</f>
        <v xml:space="preserve">Type of System -Rooftop </v>
      </c>
      <c r="C4" s="29"/>
      <c r="D4" s="30"/>
    </row>
    <row r="5" spans="2:6">
      <c r="B5" s="3" t="str">
        <f>[1]Sheet1!B21</f>
        <v xml:space="preserve">DC </v>
      </c>
      <c r="C5" s="4">
        <f>[1]Sheet1!C21</f>
        <v>861</v>
      </c>
      <c r="D5" s="5" t="str">
        <f>[1]Sheet1!D21</f>
        <v>KWp</v>
      </c>
    </row>
    <row r="6" spans="2:6">
      <c r="B6" s="3" t="str">
        <f>[1]Sheet1!B22</f>
        <v xml:space="preserve">AC </v>
      </c>
      <c r="C6" s="4">
        <v>500</v>
      </c>
      <c r="D6" s="5" t="str">
        <f>[1]Sheet1!D22</f>
        <v>KW</v>
      </c>
    </row>
    <row r="7" spans="2:6">
      <c r="B7" s="3" t="str">
        <f>[1]Sheet1!B23</f>
        <v xml:space="preserve">Module Price </v>
      </c>
      <c r="C7" s="6">
        <f>[1]Sheet1!C23</f>
        <v>370230</v>
      </c>
      <c r="D7" s="7">
        <f>[1]Sheet1!D23</f>
        <v>0.43</v>
      </c>
      <c r="E7" s="8"/>
      <c r="F7" s="8"/>
    </row>
    <row r="8" spans="2:6">
      <c r="B8" s="3" t="str">
        <f>[1]Sheet1!B24</f>
        <v>Inverter Price</v>
      </c>
      <c r="C8" s="6">
        <f>[1]Sheet1!C24</f>
        <v>82680.514438243146</v>
      </c>
      <c r="D8" s="7">
        <f>[1]Sheet1!D24</f>
        <v>9.6028472053708652E-2</v>
      </c>
    </row>
    <row r="9" spans="2:6">
      <c r="B9" s="3" t="str">
        <f>[1]Sheet1!B25</f>
        <v xml:space="preserve">Structure Price  </v>
      </c>
      <c r="C9" s="6">
        <f>[1]Sheet1!C25</f>
        <v>301349.99999999994</v>
      </c>
      <c r="D9" s="7">
        <f>[1]Sheet1!D25</f>
        <v>0.35</v>
      </c>
    </row>
    <row r="10" spans="2:6">
      <c r="B10" s="3" t="str">
        <f>[1]Sheet1!B26</f>
        <v>BOS</v>
      </c>
      <c r="C10" s="6">
        <f>[1]Sheet1!C26</f>
        <v>378840</v>
      </c>
      <c r="D10" s="7">
        <f>[1]Sheet1!D26</f>
        <v>0.44</v>
      </c>
    </row>
    <row r="11" spans="2:6">
      <c r="B11" s="3" t="str">
        <f>[1]Sheet1!B27</f>
        <v xml:space="preserve">Mechanical installation </v>
      </c>
      <c r="C11" s="6">
        <f>[1]Sheet1!C27</f>
        <v>215250</v>
      </c>
      <c r="D11" s="7">
        <f>[1]Sheet1!D27</f>
        <v>0.25</v>
      </c>
    </row>
    <row r="12" spans="2:6">
      <c r="B12" s="3" t="str">
        <f>[1]Sheet1!B28</f>
        <v xml:space="preserve">Electrical Installation </v>
      </c>
      <c r="C12" s="6">
        <f>[1]Sheet1!C28</f>
        <v>387450</v>
      </c>
      <c r="D12" s="7">
        <f>[1]Sheet1!D28</f>
        <v>0.45</v>
      </c>
    </row>
    <row r="13" spans="2:6">
      <c r="B13" s="3" t="str">
        <f>[1]Sheet1!B29</f>
        <v xml:space="preserve">Civil </v>
      </c>
      <c r="C13" s="6">
        <f>[1]Sheet1!C29</f>
        <v>17220</v>
      </c>
      <c r="D13" s="7">
        <f>[1]Sheet1!D29</f>
        <v>0.02</v>
      </c>
    </row>
    <row r="14" spans="2:6">
      <c r="B14" s="3" t="str">
        <f>[1]Sheet1!B30</f>
        <v xml:space="preserve">Engineering </v>
      </c>
      <c r="C14" s="6">
        <f>[1]Sheet1!C30</f>
        <v>77490</v>
      </c>
      <c r="D14" s="7">
        <f>[1]Sheet1!D30</f>
        <v>0.09</v>
      </c>
    </row>
    <row r="15" spans="2:6">
      <c r="B15" s="3" t="str">
        <f>[1]Sheet1!B31</f>
        <v xml:space="preserve">Permitting </v>
      </c>
      <c r="C15" s="6">
        <f>[1]Sheet1!C31</f>
        <v>43050.000000000007</v>
      </c>
      <c r="D15" s="7">
        <f>[1]Sheet1!D31</f>
        <v>0.05</v>
      </c>
    </row>
    <row r="16" spans="2:6">
      <c r="B16" s="3" t="str">
        <f>[1]Sheet1!B32</f>
        <v xml:space="preserve">Overhead </v>
      </c>
      <c r="C16" s="6">
        <f>[1]Sheet1!C32</f>
        <v>120540</v>
      </c>
      <c r="D16" s="7">
        <f>[1]Sheet1!D32</f>
        <v>0.14000000000000001</v>
      </c>
    </row>
    <row r="17" spans="2:4">
      <c r="B17" s="3" t="str">
        <f>[1]Sheet1!B33</f>
        <v xml:space="preserve">Margin </v>
      </c>
      <c r="C17" s="6">
        <f>[1]Sheet1!C33</f>
        <v>285510.05144382431</v>
      </c>
      <c r="D17" s="7">
        <f>[1]Sheet1!D33</f>
        <v>0.33160284720537087</v>
      </c>
    </row>
    <row r="18" spans="2:4">
      <c r="B18" s="3" t="str">
        <f>[1]Sheet1!B35</f>
        <v xml:space="preserve">Contingency Amount </v>
      </c>
      <c r="C18" s="6">
        <f>[1]Sheet1!C35</f>
        <v>113980.52829410337</v>
      </c>
      <c r="D18" s="7">
        <f>[1]Sheet1!D35</f>
        <v>0.13238156596295397</v>
      </c>
    </row>
    <row r="19" spans="2:4" ht="15" thickBot="1">
      <c r="B19" s="9" t="str">
        <f>[1]Sheet1!B37</f>
        <v>Total $/Wp</v>
      </c>
      <c r="C19" s="10">
        <f>[1]Sheet1!C37</f>
        <v>2393591.0941761704</v>
      </c>
      <c r="D19" s="11">
        <f>[1]Sheet1!D37</f>
        <v>2.7800128852220332</v>
      </c>
    </row>
    <row r="21" spans="2:4">
      <c r="B21" s="12" t="s">
        <v>22</v>
      </c>
    </row>
    <row r="22" spans="2:4">
      <c r="B22" s="2" t="s">
        <v>34</v>
      </c>
    </row>
    <row r="23" spans="2:4">
      <c r="B23" s="2" t="s">
        <v>24</v>
      </c>
    </row>
    <row r="24" spans="2:4">
      <c r="B24" s="2" t="s">
        <v>25</v>
      </c>
    </row>
    <row r="25" spans="2:4">
      <c r="B25" s="2" t="s">
        <v>26</v>
      </c>
    </row>
    <row r="26" spans="2:4">
      <c r="B26" s="2" t="s">
        <v>27</v>
      </c>
    </row>
    <row r="27" spans="2:4">
      <c r="B27" s="2" t="s">
        <v>28</v>
      </c>
    </row>
    <row r="28" spans="2:4">
      <c r="B28" s="2" t="s">
        <v>29</v>
      </c>
    </row>
    <row r="29" spans="2:4">
      <c r="B29" s="2" t="s">
        <v>30</v>
      </c>
    </row>
    <row r="30" spans="2:4">
      <c r="B30" s="2" t="s">
        <v>35</v>
      </c>
    </row>
    <row r="31" spans="2:4">
      <c r="B31" s="2" t="s">
        <v>32</v>
      </c>
    </row>
    <row r="32" spans="2:4">
      <c r="B32" s="2" t="s">
        <v>33</v>
      </c>
      <c r="D32" s="13"/>
    </row>
  </sheetData>
  <mergeCells count="3">
    <mergeCell ref="C1:D3"/>
    <mergeCell ref="B2:B3"/>
    <mergeCell ref="B4:D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9370-3F2B-4F46-9F20-174E7C3B50A7}">
  <dimension ref="B1:F33"/>
  <sheetViews>
    <sheetView workbookViewId="0">
      <selection activeCell="C1" sqref="B1:D19"/>
    </sheetView>
  </sheetViews>
  <sheetFormatPr defaultColWidth="8.7109375" defaultRowHeight="14.45"/>
  <cols>
    <col min="1" max="1" width="8.7109375" style="2"/>
    <col min="2" max="2" width="22.42578125" style="2" bestFit="1" customWidth="1"/>
    <col min="3" max="3" width="23.5703125" style="2" customWidth="1"/>
    <col min="4" max="4" width="11" style="2" customWidth="1"/>
    <col min="5" max="5" width="12.5703125" style="2" bestFit="1" customWidth="1"/>
    <col min="6" max="6" width="16.7109375" style="2" bestFit="1" customWidth="1"/>
    <col min="7" max="8" width="8.7109375" style="2" bestFit="1"/>
    <col min="9" max="16384" width="8.7109375" style="2"/>
  </cols>
  <sheetData>
    <row r="1" spans="2:6">
      <c r="B1" s="1"/>
      <c r="C1" s="24" t="s">
        <v>2</v>
      </c>
      <c r="D1" s="25"/>
    </row>
    <row r="2" spans="2:6">
      <c r="B2" s="20"/>
      <c r="C2" s="26"/>
      <c r="D2" s="27"/>
    </row>
    <row r="3" spans="2:6">
      <c r="B3" s="20"/>
      <c r="C3" s="26"/>
      <c r="D3" s="27"/>
    </row>
    <row r="4" spans="2:6">
      <c r="B4" s="28" t="str">
        <f>[2]Sheet1!B19</f>
        <v>Type of System -Ground Mount</v>
      </c>
      <c r="C4" s="29"/>
      <c r="D4" s="30"/>
    </row>
    <row r="5" spans="2:6">
      <c r="B5" s="3" t="str">
        <f>[2]Sheet1!B20</f>
        <v xml:space="preserve">DC </v>
      </c>
      <c r="C5" s="4">
        <f>[2]Sheet1!C20</f>
        <v>2364</v>
      </c>
      <c r="D5" s="5" t="str">
        <f>[2]Sheet1!D20</f>
        <v>KWp</v>
      </c>
    </row>
    <row r="6" spans="2:6">
      <c r="B6" s="3" t="str">
        <f>[2]Sheet1!B21</f>
        <v xml:space="preserve">AC </v>
      </c>
      <c r="C6" s="4">
        <v>500</v>
      </c>
      <c r="D6" s="5" t="str">
        <f>[2]Sheet1!D21</f>
        <v>KW</v>
      </c>
    </row>
    <row r="7" spans="2:6">
      <c r="B7" s="3" t="str">
        <f>[2]Sheet1!B22</f>
        <v xml:space="preserve">Module Price </v>
      </c>
      <c r="C7" s="6">
        <f>[2]Sheet1!C22</f>
        <v>898320</v>
      </c>
      <c r="D7" s="7">
        <f>[2]Sheet1!D22</f>
        <v>0.38</v>
      </c>
      <c r="E7" s="8"/>
      <c r="F7" s="8"/>
    </row>
    <row r="8" spans="2:6">
      <c r="B8" s="3" t="str">
        <f>[2]Sheet1!B23</f>
        <v>Inverter Price</v>
      </c>
      <c r="C8" s="6">
        <f>[2]Sheet1!C23</f>
        <v>227011.30793496725</v>
      </c>
      <c r="D8" s="7">
        <f>[2]Sheet1!D23</f>
        <v>9.6028472053708652E-2</v>
      </c>
    </row>
    <row r="9" spans="2:6">
      <c r="B9" s="3" t="str">
        <f>[2]Sheet1!B24</f>
        <v xml:space="preserve">Structure Price  </v>
      </c>
      <c r="C9" s="6">
        <f>[2]Sheet1!C24</f>
        <v>520080.00000000006</v>
      </c>
      <c r="D9" s="7">
        <f>[2]Sheet1!D24</f>
        <v>0.22</v>
      </c>
    </row>
    <row r="10" spans="2:6">
      <c r="B10" s="3" t="str">
        <f>[2]Sheet1!B25</f>
        <v>BOS</v>
      </c>
      <c r="C10" s="6">
        <f>[2]Sheet1!C25</f>
        <v>936500</v>
      </c>
      <c r="D10" s="7">
        <f>[2]Sheet1!D25</f>
        <v>0.39615059221658205</v>
      </c>
    </row>
    <row r="11" spans="2:6">
      <c r="B11" s="3" t="str">
        <f>[2]Sheet1!B26</f>
        <v xml:space="preserve">Mechanical installation </v>
      </c>
      <c r="C11" s="6">
        <f>[2]Sheet1!C26</f>
        <v>472800</v>
      </c>
      <c r="D11" s="7">
        <f>[2]Sheet1!D26</f>
        <v>0.2</v>
      </c>
    </row>
    <row r="12" spans="2:6">
      <c r="B12" s="3" t="str">
        <f>[2]Sheet1!B27</f>
        <v xml:space="preserve">Electrical Installation </v>
      </c>
      <c r="C12" s="6">
        <f>[2]Sheet1!C27</f>
        <v>709199.99999999988</v>
      </c>
      <c r="D12" s="7">
        <f>[2]Sheet1!D27</f>
        <v>0.3</v>
      </c>
    </row>
    <row r="13" spans="2:6">
      <c r="B13" s="3" t="str">
        <f>[2]Sheet1!B28</f>
        <v xml:space="preserve">Civil </v>
      </c>
      <c r="C13" s="6">
        <f>[2]Sheet1!C28</f>
        <v>236400</v>
      </c>
      <c r="D13" s="7">
        <f>[2]Sheet1!D28</f>
        <v>0.1</v>
      </c>
    </row>
    <row r="14" spans="2:6">
      <c r="B14" s="3" t="str">
        <f>[2]Sheet1!B29</f>
        <v xml:space="preserve">Engineering </v>
      </c>
      <c r="C14" s="6">
        <f>[2]Sheet1!C29</f>
        <v>47280</v>
      </c>
      <c r="D14" s="7">
        <f>[2]Sheet1!D29</f>
        <v>0.02</v>
      </c>
    </row>
    <row r="15" spans="2:6">
      <c r="B15" s="3" t="str">
        <f>[2]Sheet1!B30</f>
        <v xml:space="preserve">Permitting </v>
      </c>
      <c r="C15" s="6">
        <f>[2]Sheet1!C30</f>
        <v>47280</v>
      </c>
      <c r="D15" s="7">
        <f>[2]Sheet1!D30</f>
        <v>0.02</v>
      </c>
    </row>
    <row r="16" spans="2:6">
      <c r="B16" s="3" t="str">
        <f>[2]Sheet1!B31</f>
        <v xml:space="preserve">Overhead </v>
      </c>
      <c r="C16" s="6">
        <f>[2]Sheet1!C31</f>
        <v>189120</v>
      </c>
      <c r="D16" s="7">
        <f>[2]Sheet1!D31</f>
        <v>0.08</v>
      </c>
    </row>
    <row r="17" spans="2:4">
      <c r="B17" s="3" t="str">
        <f>[2]Sheet1!B32</f>
        <v xml:space="preserve">Margin </v>
      </c>
      <c r="C17" s="6">
        <f>[2]Sheet1!C32</f>
        <v>428399.13079349668</v>
      </c>
      <c r="D17" s="7">
        <f>[2]Sheet1!D32</f>
        <v>0.18121790642702906</v>
      </c>
    </row>
    <row r="18" spans="2:4">
      <c r="B18" s="3" t="str">
        <f>[2]Sheet1!B34</f>
        <v xml:space="preserve">Contingency Amount </v>
      </c>
      <c r="C18" s="6">
        <f>[2]Sheet1!C34</f>
        <v>141371.71316185393</v>
      </c>
      <c r="D18" s="7">
        <f>[2]Sheet1!D34</f>
        <v>5.9801909120919601E-2</v>
      </c>
    </row>
    <row r="19" spans="2:4" ht="15" thickBot="1">
      <c r="B19" s="9" t="str">
        <f>[2]Sheet1!B36</f>
        <v>Total $/Wp</v>
      </c>
      <c r="C19" s="10">
        <f>[2]Sheet1!C36</f>
        <v>4853762.1518903188</v>
      </c>
      <c r="D19" s="11">
        <f>[2]Sheet1!D36</f>
        <v>2.0531988798182397</v>
      </c>
    </row>
    <row r="21" spans="2:4">
      <c r="B21" s="12" t="s">
        <v>22</v>
      </c>
    </row>
    <row r="22" spans="2:4">
      <c r="B22" s="2" t="s">
        <v>36</v>
      </c>
    </row>
    <row r="23" spans="2:4">
      <c r="B23" s="2" t="s">
        <v>24</v>
      </c>
    </row>
    <row r="24" spans="2:4">
      <c r="B24" s="2" t="s">
        <v>25</v>
      </c>
    </row>
    <row r="25" spans="2:4">
      <c r="B25" s="2" t="s">
        <v>26</v>
      </c>
    </row>
    <row r="26" spans="2:4">
      <c r="B26" s="2" t="s">
        <v>27</v>
      </c>
    </row>
    <row r="27" spans="2:4">
      <c r="B27" s="2" t="s">
        <v>28</v>
      </c>
    </row>
    <row r="28" spans="2:4">
      <c r="B28" s="2" t="s">
        <v>29</v>
      </c>
    </row>
    <row r="29" spans="2:4">
      <c r="B29" s="2" t="s">
        <v>37</v>
      </c>
    </row>
    <row r="30" spans="2:4">
      <c r="B30" s="2" t="s">
        <v>38</v>
      </c>
    </row>
    <row r="31" spans="2:4">
      <c r="B31" s="2" t="s">
        <v>32</v>
      </c>
    </row>
    <row r="32" spans="2:4">
      <c r="B32" s="2" t="s">
        <v>39</v>
      </c>
    </row>
    <row r="33" spans="2:4">
      <c r="B33" s="2" t="s">
        <v>33</v>
      </c>
      <c r="D33" s="13"/>
    </row>
  </sheetData>
  <mergeCells count="3">
    <mergeCell ref="C1:D3"/>
    <mergeCell ref="B2:B3"/>
    <mergeCell ref="B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1504-535C-41FB-8BA8-47DD062925CA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3fdd1ca1d78f2fbaeb5666bbfbf666e4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3ae4100632fce059ed14c1eb6f939420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44EEF2-4C40-4D80-9658-DD843F8E680B}"/>
</file>

<file path=customXml/itemProps2.xml><?xml version="1.0" encoding="utf-8"?>
<ds:datastoreItem xmlns:ds="http://schemas.openxmlformats.org/officeDocument/2006/customXml" ds:itemID="{7A02359C-38E8-4382-BA8A-382D1F342223}"/>
</file>

<file path=customXml/itemProps3.xml><?xml version="1.0" encoding="utf-8"?>
<ds:datastoreItem xmlns:ds="http://schemas.openxmlformats.org/officeDocument/2006/customXml" ds:itemID="{D46E2DE8-E065-4816-A09F-776A4CDBF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Rajnish Kushwaha</cp:lastModifiedBy>
  <cp:revision/>
  <dcterms:created xsi:type="dcterms:W3CDTF">2025-11-12T13:16:24Z</dcterms:created>
  <dcterms:modified xsi:type="dcterms:W3CDTF">2026-04-02T06:52:01Z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