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671" documentId="8_{0A602AED-51D8-4002-B8AF-EEADE992CD1B}" xr6:coauthVersionLast="47" xr6:coauthVersionMax="47" xr10:uidLastSave="{81669E7B-E3D8-4BDB-A792-80844713FAA7}"/>
  <bookViews>
    <workbookView xWindow="-108" yWindow="-108" windowWidth="23256" windowHeight="12456" activeTab="1" xr2:uid="{D607C926-55D4-4078-97E3-1AF4C80CE409}"/>
  </bookViews>
  <sheets>
    <sheet name="Sheet2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O4" i="1"/>
  <c r="D23" i="1"/>
  <c r="D42" i="1"/>
  <c r="C23" i="1"/>
  <c r="D36" i="1"/>
  <c r="D34" i="1"/>
  <c r="D32" i="1"/>
  <c r="D31" i="1"/>
  <c r="D30" i="1"/>
  <c r="D29" i="1"/>
  <c r="D28" i="1"/>
  <c r="D27" i="1"/>
  <c r="D26" i="1"/>
  <c r="D25" i="1"/>
  <c r="D24" i="1"/>
  <c r="M7" i="1" l="1"/>
  <c r="L7" i="1"/>
  <c r="B19" i="2"/>
  <c r="B6" i="2"/>
  <c r="D6" i="2"/>
  <c r="B7" i="2"/>
  <c r="B8" i="2"/>
  <c r="B9" i="2"/>
  <c r="B10" i="2"/>
  <c r="B11" i="2"/>
  <c r="B12" i="2"/>
  <c r="B13" i="2"/>
  <c r="B14" i="2"/>
  <c r="B15" i="2"/>
  <c r="B16" i="2"/>
  <c r="B17" i="2"/>
  <c r="B18" i="2"/>
  <c r="D5" i="2"/>
  <c r="B5" i="2"/>
  <c r="B4" i="2"/>
  <c r="D15" i="2"/>
  <c r="D14" i="2"/>
  <c r="D13" i="2"/>
  <c r="D12" i="2"/>
  <c r="D11" i="2"/>
  <c r="D10" i="2"/>
  <c r="D9" i="2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G25" i="1"/>
  <c r="K27" i="1" s="1"/>
  <c r="H23" i="1"/>
  <c r="G23" i="1"/>
  <c r="G30" i="1" s="1"/>
  <c r="K30" i="1" s="1"/>
  <c r="D5" i="1"/>
  <c r="K28" i="1"/>
  <c r="K26" i="1"/>
  <c r="J25" i="1"/>
  <c r="J24" i="1"/>
  <c r="K24" i="1" s="1"/>
  <c r="I24" i="1"/>
  <c r="C17" i="3"/>
  <c r="C18" i="3"/>
  <c r="C16" i="3"/>
  <c r="H36" i="1"/>
  <c r="H37" i="1"/>
  <c r="H35" i="1"/>
  <c r="H34" i="1"/>
  <c r="I37" i="1" s="1"/>
  <c r="D18" i="3" s="1"/>
  <c r="G34" i="1"/>
  <c r="I34" i="1" s="1"/>
  <c r="D7" i="2" l="1"/>
  <c r="K25" i="1"/>
  <c r="K31" i="1" s="1"/>
  <c r="K29" i="1"/>
  <c r="I35" i="1"/>
  <c r="D16" i="3" s="1"/>
  <c r="I25" i="1"/>
  <c r="I36" i="1"/>
  <c r="D17" i="3" s="1"/>
  <c r="I23" i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C30" i="1" l="1"/>
  <c r="C14" i="2" s="1"/>
  <c r="C5" i="2"/>
  <c r="C25" i="1"/>
  <c r="C9" i="2" s="1"/>
  <c r="L31" i="1"/>
  <c r="D8" i="2" s="1"/>
  <c r="D19" i="3"/>
  <c r="C36" i="1"/>
  <c r="C28" i="1"/>
  <c r="C12" i="2" s="1"/>
  <c r="E21" i="1"/>
  <c r="C27" i="1"/>
  <c r="C11" i="2" s="1"/>
  <c r="C26" i="1"/>
  <c r="I38" i="1"/>
  <c r="C31" i="1"/>
  <c r="C15" i="2" s="1"/>
  <c r="C34" i="1"/>
  <c r="C7" i="2"/>
  <c r="C29" i="1"/>
  <c r="C13" i="2" s="1"/>
  <c r="D13" i="3"/>
  <c r="C24" i="1" l="1"/>
  <c r="C8" i="2" s="1"/>
  <c r="C10" i="2"/>
  <c r="O5" i="1" l="1"/>
  <c r="Q5" i="1" s="1"/>
  <c r="D16" i="2"/>
  <c r="I12" i="1"/>
  <c r="C32" i="1" l="1"/>
  <c r="S5" i="1"/>
  <c r="G20" i="1"/>
  <c r="K20" i="1" s="1"/>
  <c r="K18" i="1"/>
  <c r="K17" i="1"/>
  <c r="K15" i="1"/>
  <c r="K14" i="1"/>
  <c r="K19" i="1"/>
  <c r="G16" i="1"/>
  <c r="K16" i="1" s="1"/>
  <c r="I15" i="1"/>
  <c r="I14" i="1"/>
  <c r="C16" i="2" l="1"/>
  <c r="K21" i="1"/>
  <c r="L21" i="1" s="1"/>
  <c r="I13" i="1"/>
  <c r="N14" i="1" l="1"/>
  <c r="Q6" i="1"/>
  <c r="F4" i="1" l="1"/>
  <c r="K5" i="3"/>
  <c r="D14" i="1"/>
  <c r="D13" i="1"/>
  <c r="C5" i="3" l="1"/>
  <c r="D12" i="1"/>
  <c r="L8" i="1"/>
  <c r="L5" i="3" l="1"/>
  <c r="D33" i="1"/>
  <c r="Q4" i="1"/>
  <c r="D35" i="1" s="1"/>
  <c r="N5" i="3" l="1"/>
  <c r="C35" i="1"/>
  <c r="C18" i="2" s="1"/>
  <c r="D18" i="2"/>
  <c r="D37" i="1"/>
  <c r="D19" i="2" s="1"/>
  <c r="D17" i="2"/>
  <c r="C33" i="1"/>
  <c r="S4" i="1"/>
  <c r="S6" i="1" s="1"/>
  <c r="G11" i="1"/>
  <c r="D3" i="1"/>
  <c r="C17" i="2" l="1"/>
  <c r="C37" i="1"/>
  <c r="C19" i="2" s="1"/>
  <c r="P5" i="3"/>
  <c r="J10" i="1"/>
  <c r="G8" i="1"/>
  <c r="C14" i="1"/>
  <c r="D15" i="1"/>
  <c r="C13" i="1"/>
  <c r="C12" i="1" l="1"/>
  <c r="C15" i="1"/>
  <c r="D16" i="1" l="1"/>
  <c r="E24" i="1" l="1"/>
  <c r="E23" i="1"/>
  <c r="E26" i="1"/>
  <c r="E27" i="1"/>
  <c r="E28" i="1"/>
  <c r="E25" i="1"/>
  <c r="D17" i="1"/>
  <c r="D18" i="1" s="1"/>
  <c r="C16" i="1"/>
  <c r="E12" i="1" l="1"/>
  <c r="E15" i="1"/>
  <c r="E13" i="1"/>
  <c r="E14" i="1"/>
  <c r="E16" i="1"/>
  <c r="E17" i="1"/>
  <c r="C17" i="1"/>
  <c r="C18" i="1" l="1"/>
</calcChain>
</file>

<file path=xl/sharedStrings.xml><?xml version="1.0" encoding="utf-8"?>
<sst xmlns="http://schemas.openxmlformats.org/spreadsheetml/2006/main" count="78" uniqueCount="63">
  <si>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</si>
  <si>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</si>
  <si>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</si>
  <si>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</si>
  <si>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</si>
  <si>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</si>
  <si>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</si>
  <si>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</si>
  <si>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</si>
  <si>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</si>
  <si>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</si>
  <si>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</si>
  <si>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</si>
  <si>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</si>
  <si>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</si>
  <si>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</si>
  <si>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</si>
  <si>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</si>
  <si>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</si>
  <si>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</si>
  <si>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</si>
  <si>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</si>
  <si>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</si>
  <si>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</si>
  <si>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</si>
  <si>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</si>
  <si>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</si>
  <si>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</si>
  <si>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</si>
  <si>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</si>
  <si>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</si>
  <si>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</si>
  <si>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</si>
  <si>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</si>
  <si>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</si>
  <si>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</si>
  <si>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</si>
  <si>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</si>
  <si>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</si>
  <si>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>Currently, we are considering a 10% margin on supply and a 20% margin on installation.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</si>
  <si>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</si>
  <si>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</si>
  <si>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</si>
  <si>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</si>
  <si>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</si>
  <si>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</si>
  <si>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</si>
  <si>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</si>
  <si>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</si>
  <si>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</si>
  <si>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</si>
  <si>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</si>
  <si>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</si>
  <si>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</si>
  <si>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</si>
  <si>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</si>
  <si>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RT</t>
  </si>
  <si>
    <t>KW</t>
  </si>
  <si>
    <t xml:space="preserve">Structure Price  </t>
  </si>
  <si>
    <t xml:space="preserve">POI location is at inverter level only </t>
  </si>
  <si>
    <t xml:space="preserve">5% of contingency is consdiered in the above cost </t>
  </si>
  <si>
    <t xml:space="preserve">Currently, we have used a module price of $0.43/Wp for Heline as it will be domestic content. Please let us know if this needs to be updated. </t>
  </si>
  <si>
    <t>Projwect Name : Mattingly Cold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</si>
</sst>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43" fontId="0" fillId="0" borderId="3" xfId="0" applyNumberForma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2"/>
  <sheetViews>
    <sheetView showGridLines="0" workbookViewId="0">
      <selection activeCell="C5" sqref="C5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1" t="s">
        <v>62</v>
      </c>
      <c r="D1" s="52"/>
    </row>
    <row r="2" spans="2:6" x14ac:dyDescent="0.3">
      <c r="B2" s="55"/>
      <c r="C2" s="53"/>
      <c r="D2" s="54"/>
    </row>
    <row r="3" spans="2:6" x14ac:dyDescent="0.3">
      <c r="B3" s="55"/>
      <c r="C3" s="53"/>
      <c r="D3" s="54"/>
    </row>
    <row r="4" spans="2:6" x14ac:dyDescent="0.3">
      <c r="B4" s="48" t="str">
        <f>Sheet1!B20</f>
        <v xml:space="preserve">Type of System -Rooftop </v>
      </c>
      <c r="C4" s="49"/>
      <c r="D4" s="50"/>
    </row>
    <row r="5" spans="2:6" x14ac:dyDescent="0.3">
      <c r="B5" s="41" t="str">
        <f>Sheet1!B21</f>
        <v xml:space="preserve">DC </v>
      </c>
      <c r="C5" s="40">
        <f>Sheet1!C21</f>
        <v>1930</v>
      </c>
      <c r="D5" s="42" t="str">
        <f>Sheet1!D21</f>
        <v>KWp</v>
      </c>
    </row>
    <row r="6" spans="2:6" x14ac:dyDescent="0.3">
      <c r="B6" s="41" t="str">
        <f>Sheet1!B22</f>
        <v xml:space="preserve">AC </v>
      </c>
      <c r="C6" s="40">
        <v>500</v>
      </c>
      <c r="D6" s="42" t="str">
        <f>Sheet1!D22</f>
        <v>KW</v>
      </c>
    </row>
    <row r="7" spans="2:6" x14ac:dyDescent="0.3">
      <c r="B7" s="41" t="str">
        <f>Sheet1!B23</f>
        <v xml:space="preserve">Module Price </v>
      </c>
      <c r="C7" s="46">
        <f>Sheet1!C23</f>
        <v>829900</v>
      </c>
      <c r="D7" s="47">
        <f>Sheet1!D23</f>
        <v>0.43</v>
      </c>
      <c r="E7" s="27"/>
      <c r="F7" s="27"/>
    </row>
    <row r="8" spans="2:6" x14ac:dyDescent="0.3">
      <c r="B8" s="41" t="str">
        <f>Sheet1!B24</f>
        <v>Inverter Price</v>
      </c>
      <c r="C8" s="46">
        <f>Sheet1!C24</f>
        <v>185334.9510636577</v>
      </c>
      <c r="D8" s="47">
        <f>Sheet1!D24</f>
        <v>9.6028472053708652E-2</v>
      </c>
    </row>
    <row r="9" spans="2:6" x14ac:dyDescent="0.3">
      <c r="B9" s="41" t="str">
        <f>Sheet1!B25</f>
        <v xml:space="preserve">Structure Price  </v>
      </c>
      <c r="C9" s="46">
        <f>Sheet1!C25</f>
        <v>579000</v>
      </c>
      <c r="D9" s="47">
        <f>Sheet1!D25</f>
        <v>0.3</v>
      </c>
    </row>
    <row r="10" spans="2:6" x14ac:dyDescent="0.3">
      <c r="B10" s="41" t="str">
        <f>Sheet1!B26</f>
        <v>BOS</v>
      </c>
      <c r="C10" s="46">
        <f>Sheet1!C26</f>
        <v>656200</v>
      </c>
      <c r="D10" s="47">
        <f>Sheet1!D26</f>
        <v>0.34</v>
      </c>
    </row>
    <row r="11" spans="2:6" x14ac:dyDescent="0.3">
      <c r="B11" s="41" t="str">
        <f>Sheet1!B27</f>
        <v xml:space="preserve">Mechanical installation </v>
      </c>
      <c r="C11" s="46">
        <f>Sheet1!C27</f>
        <v>482500</v>
      </c>
      <c r="D11" s="47">
        <f>Sheet1!D27</f>
        <v>0.25</v>
      </c>
    </row>
    <row r="12" spans="2:6" x14ac:dyDescent="0.3">
      <c r="B12" s="41" t="str">
        <f>Sheet1!B28</f>
        <v xml:space="preserve">Electrical Installation </v>
      </c>
      <c r="C12" s="46">
        <f>Sheet1!C28</f>
        <v>810600</v>
      </c>
      <c r="D12" s="47">
        <f>Sheet1!D28</f>
        <v>0.42</v>
      </c>
    </row>
    <row r="13" spans="2:6" x14ac:dyDescent="0.3">
      <c r="B13" s="41" t="str">
        <f>Sheet1!B29</f>
        <v xml:space="preserve">Civil </v>
      </c>
      <c r="C13" s="46">
        <f>Sheet1!C29</f>
        <v>38600</v>
      </c>
      <c r="D13" s="47">
        <f>Sheet1!D29</f>
        <v>0.02</v>
      </c>
    </row>
    <row r="14" spans="2:6" x14ac:dyDescent="0.3">
      <c r="B14" s="41" t="str">
        <f>Sheet1!B30</f>
        <v xml:space="preserve">Engineering </v>
      </c>
      <c r="C14" s="46">
        <f>Sheet1!C30</f>
        <v>19300</v>
      </c>
      <c r="D14" s="47">
        <f>Sheet1!D30</f>
        <v>0.01</v>
      </c>
    </row>
    <row r="15" spans="2:6" x14ac:dyDescent="0.3">
      <c r="B15" s="41" t="str">
        <f>Sheet1!B31</f>
        <v xml:space="preserve">Permitting </v>
      </c>
      <c r="C15" s="46">
        <f>Sheet1!C31</f>
        <v>57900</v>
      </c>
      <c r="D15" s="47">
        <f>Sheet1!D31</f>
        <v>0.03</v>
      </c>
    </row>
    <row r="16" spans="2:6" x14ac:dyDescent="0.3">
      <c r="B16" s="41" t="str">
        <f>Sheet1!B32</f>
        <v xml:space="preserve">Overhead </v>
      </c>
      <c r="C16" s="46">
        <f>Sheet1!C32</f>
        <v>154400</v>
      </c>
      <c r="D16" s="47">
        <f>Sheet1!D32</f>
        <v>0.08</v>
      </c>
    </row>
    <row r="17" spans="2:4" x14ac:dyDescent="0.3">
      <c r="B17" s="41" t="str">
        <f>Sheet1!B33</f>
        <v xml:space="preserve">Margin </v>
      </c>
      <c r="C17" s="46">
        <f>Sheet1!C33</f>
        <v>381373.49510636576</v>
      </c>
      <c r="D17" s="47">
        <f>Sheet1!D33</f>
        <v>0.19760284720537086</v>
      </c>
    </row>
    <row r="18" spans="2:4" x14ac:dyDescent="0.3">
      <c r="B18" s="41" t="str">
        <f>Sheet1!B35</f>
        <v xml:space="preserve">Contingency Amount </v>
      </c>
      <c r="C18" s="46">
        <f>Sheet1!C35</f>
        <v>209755.42230850118</v>
      </c>
      <c r="D18" s="47">
        <f>Sheet1!D35</f>
        <v>0.10868156596295397</v>
      </c>
    </row>
    <row r="19" spans="2:4" ht="15" thickBot="1" x14ac:dyDescent="0.35">
      <c r="B19" s="43" t="str">
        <f>Sheet1!B37</f>
        <v>Total $/Wp</v>
      </c>
      <c r="C19" s="44">
        <f>Sheet1!C37</f>
        <v>4404863.8684785245</v>
      </c>
      <c r="D19" s="45">
        <f>Sheet1!D37</f>
        <v>2.2823128852220336</v>
      </c>
    </row>
    <row r="21" spans="2:4" x14ac:dyDescent="0.3">
      <c r="B21" s="32" t="s">
        <v>0</v>
      </c>
    </row>
    <row r="22" spans="2:4" x14ac:dyDescent="0.3">
      <c r="B22" s="24" t="s">
        <v>61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39</v>
      </c>
    </row>
    <row r="30" spans="2:4" x14ac:dyDescent="0.3">
      <c r="B30" s="24" t="s">
        <v>60</v>
      </c>
    </row>
    <row r="31" spans="2:4" x14ac:dyDescent="0.3">
      <c r="B31" s="24" t="s">
        <v>41</v>
      </c>
    </row>
    <row r="32" spans="2:4" x14ac:dyDescent="0.3">
      <c r="B32" s="24" t="s">
        <v>59</v>
      </c>
      <c r="D32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2"/>
  <sheetViews>
    <sheetView showGridLines="0" tabSelected="1" topLeftCell="C1" workbookViewId="0">
      <selection activeCell="T5" sqref="T5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7.5546875" bestFit="1" customWidth="1"/>
    <col min="6" max="6" width="8.21875" bestFit="1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2" width="14.21875" customWidth="1"/>
    <col min="13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58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I13</f>
        <v>741.78</v>
      </c>
    </row>
    <row r="4" spans="2:22" s="3" customFormat="1" ht="15" x14ac:dyDescent="0.35">
      <c r="B4" s="15">
        <v>0.05</v>
      </c>
      <c r="C4" s="16" t="s">
        <v>56</v>
      </c>
      <c r="D4" s="16">
        <v>2.2000000000000002</v>
      </c>
      <c r="E4" s="17">
        <v>0.43</v>
      </c>
      <c r="F4" s="28">
        <f>N14</f>
        <v>9.6028472053708652E-2</v>
      </c>
      <c r="G4" s="28">
        <v>0.3</v>
      </c>
      <c r="H4" s="28">
        <v>0.34</v>
      </c>
      <c r="I4" s="28">
        <v>0.25</v>
      </c>
      <c r="J4" s="28">
        <v>0.42</v>
      </c>
      <c r="K4" s="28">
        <v>0.02</v>
      </c>
      <c r="L4" s="28">
        <v>0.01</v>
      </c>
      <c r="M4" s="28">
        <v>0.03</v>
      </c>
      <c r="N4" s="28">
        <v>0.08</v>
      </c>
      <c r="O4" s="28">
        <f>SUM(E4:H4)*10%+SUM(I4:N4)*10%</f>
        <v>0.19760284720537086</v>
      </c>
      <c r="P4" s="28">
        <v>0</v>
      </c>
      <c r="Q4" s="28">
        <f>SUM(E4:O4)*B4</f>
        <v>0.10868156596295397</v>
      </c>
      <c r="R4" s="28">
        <v>0</v>
      </c>
      <c r="S4" s="17">
        <f>SUM(E4:R4)</f>
        <v>2.2823128852220336</v>
      </c>
      <c r="T4" s="29">
        <f>S4-E4+0.24</f>
        <v>2.0923128852220336</v>
      </c>
      <c r="U4" s="29"/>
      <c r="V4" s="30"/>
    </row>
    <row r="5" spans="2:22" s="3" customFormat="1" ht="15.6" thickBot="1" x14ac:dyDescent="0.4">
      <c r="B5" s="15">
        <v>0.05</v>
      </c>
      <c r="C5" s="16" t="s">
        <v>56</v>
      </c>
      <c r="D5" s="16">
        <f>D4/1000</f>
        <v>2.2000000000000001E-3</v>
      </c>
      <c r="E5" s="17">
        <v>0.22</v>
      </c>
      <c r="F5" s="28">
        <v>0.05</v>
      </c>
      <c r="G5" s="28">
        <v>0.3</v>
      </c>
      <c r="H5" s="28">
        <v>0.45</v>
      </c>
      <c r="I5" s="28">
        <v>0.25</v>
      </c>
      <c r="J5" s="28">
        <v>0.45</v>
      </c>
      <c r="K5" s="28">
        <v>0.05</v>
      </c>
      <c r="L5" s="28">
        <v>0.09</v>
      </c>
      <c r="M5" s="28">
        <v>0.05</v>
      </c>
      <c r="N5" s="28">
        <v>0.14000000000000001</v>
      </c>
      <c r="O5" s="28">
        <f>SUM(E5:H5)*10%+SUM(I5:N5)*20%</f>
        <v>0.30800000000000005</v>
      </c>
      <c r="P5" s="28">
        <v>0</v>
      </c>
      <c r="Q5" s="28">
        <f>SUM(E5:O5)*B5</f>
        <v>0.11790000000000003</v>
      </c>
      <c r="R5" s="28">
        <v>0</v>
      </c>
      <c r="S5" s="17">
        <f>SUM(E5:R5)</f>
        <v>2.4759000000000007</v>
      </c>
    </row>
    <row r="6" spans="2:22" ht="15" hidden="1" x14ac:dyDescent="0.35">
      <c r="Q6" s="17">
        <f t="shared" ref="Q6" si="0">SUM(E6:O6)*B6</f>
        <v>0</v>
      </c>
      <c r="S6" s="19">
        <f>S4-S5</f>
        <v>-0.19358711477796708</v>
      </c>
    </row>
    <row r="7" spans="2:22" hidden="1" x14ac:dyDescent="0.3">
      <c r="J7" s="22"/>
      <c r="K7" s="19"/>
      <c r="L7" s="19">
        <f>L5*C10*1000</f>
        <v>66760.2</v>
      </c>
      <c r="M7" s="19">
        <f>M5*C10*1000</f>
        <v>37089</v>
      </c>
      <c r="N7" s="18"/>
    </row>
    <row r="8" spans="2:22" ht="15" hidden="1" thickBot="1" x14ac:dyDescent="0.35">
      <c r="B8" s="31" t="s">
        <v>40</v>
      </c>
      <c r="G8" s="19">
        <f>G4*C10*1000</f>
        <v>222534</v>
      </c>
      <c r="L8" s="19" t="e">
        <f>#REF!*C21*1000</f>
        <v>#REF!</v>
      </c>
    </row>
    <row r="9" spans="2:22" hidden="1" x14ac:dyDescent="0.3">
      <c r="B9" s="56" t="s">
        <v>49</v>
      </c>
      <c r="C9" s="57"/>
      <c r="D9" s="58"/>
    </row>
    <row r="10" spans="2:22" hidden="1" x14ac:dyDescent="0.3">
      <c r="B10" s="7" t="s">
        <v>24</v>
      </c>
      <c r="C10" s="4">
        <v>741.78</v>
      </c>
      <c r="D10" s="8" t="s">
        <v>25</v>
      </c>
      <c r="F10" t="s">
        <v>26</v>
      </c>
      <c r="J10" s="19">
        <f>(I5+J5+K5)*C10*1000</f>
        <v>556335</v>
      </c>
    </row>
    <row r="11" spans="2:22" hidden="1" x14ac:dyDescent="0.3">
      <c r="B11" s="7" t="s">
        <v>27</v>
      </c>
      <c r="C11" s="4">
        <v>500</v>
      </c>
      <c r="D11" s="8" t="s">
        <v>57</v>
      </c>
      <c r="F11" t="s">
        <v>28</v>
      </c>
      <c r="G11">
        <f>C11+C22</f>
        <v>2000</v>
      </c>
    </row>
    <row r="12" spans="2:22" hidden="1" x14ac:dyDescent="0.3">
      <c r="B12" s="7" t="s">
        <v>29</v>
      </c>
      <c r="C12" s="6">
        <f>D12*$C$10*1000</f>
        <v>864936.6</v>
      </c>
      <c r="D12" s="9">
        <f>E4+F4+G4+H4</f>
        <v>1.1660284720537086</v>
      </c>
      <c r="E12" s="18">
        <f>D12/$D$18</f>
        <v>0.5108977299316575</v>
      </c>
      <c r="F12" t="s">
        <v>30</v>
      </c>
      <c r="I12">
        <f>1552*590</f>
        <v>915680</v>
      </c>
    </row>
    <row r="13" spans="2:22" hidden="1" x14ac:dyDescent="0.3">
      <c r="B13" s="7" t="s">
        <v>31</v>
      </c>
      <c r="C13" s="5">
        <f t="shared" ref="C13:C17" si="1">D13*$C$10*1000</f>
        <v>511828.19999999995</v>
      </c>
      <c r="D13" s="10">
        <f>I4+J4+K4</f>
        <v>0.69</v>
      </c>
      <c r="E13" s="18">
        <f t="shared" ref="E13:E17" si="2">D13/$D$18</f>
        <v>0.3023248935182144</v>
      </c>
      <c r="F13" t="s">
        <v>26</v>
      </c>
      <c r="G13">
        <v>1268</v>
      </c>
      <c r="H13">
        <v>585</v>
      </c>
      <c r="I13">
        <f>H13*G13/1000</f>
        <v>741.78</v>
      </c>
    </row>
    <row r="14" spans="2:22" hidden="1" x14ac:dyDescent="0.3">
      <c r="B14" s="11" t="s">
        <v>32</v>
      </c>
      <c r="C14" s="5">
        <f t="shared" si="1"/>
        <v>29671.199999999997</v>
      </c>
      <c r="D14" s="10">
        <f>L4+M4</f>
        <v>0.04</v>
      </c>
      <c r="E14" s="18">
        <f t="shared" si="2"/>
        <v>1.7526080783664605E-2</v>
      </c>
      <c r="F14" t="s">
        <v>27</v>
      </c>
      <c r="G14">
        <v>5</v>
      </c>
      <c r="H14">
        <v>100</v>
      </c>
      <c r="I14">
        <f>H14*G14</f>
        <v>500</v>
      </c>
      <c r="J14">
        <v>10000</v>
      </c>
      <c r="K14" s="20">
        <f>J14*G14</f>
        <v>50000</v>
      </c>
      <c r="N14" s="26">
        <f>K21/I13/1000</f>
        <v>9.6028472053708652E-2</v>
      </c>
    </row>
    <row r="15" spans="2:22" hidden="1" x14ac:dyDescent="0.3">
      <c r="B15" s="7" t="s">
        <v>33</v>
      </c>
      <c r="C15" s="5">
        <f t="shared" si="1"/>
        <v>59342.399999999994</v>
      </c>
      <c r="D15" s="10">
        <f>N4</f>
        <v>0.08</v>
      </c>
      <c r="E15" s="18">
        <f t="shared" si="2"/>
        <v>3.505216156732921E-2</v>
      </c>
      <c r="G15">
        <v>0</v>
      </c>
      <c r="H15">
        <v>36</v>
      </c>
      <c r="I15">
        <f>H15*G15</f>
        <v>0</v>
      </c>
      <c r="J15">
        <v>3800</v>
      </c>
      <c r="K15" s="20">
        <f>J15*G15</f>
        <v>0</v>
      </c>
    </row>
    <row r="16" spans="2:22" hidden="1" x14ac:dyDescent="0.3">
      <c r="B16" s="7" t="s">
        <v>19</v>
      </c>
      <c r="C16" s="5">
        <f t="shared" si="1"/>
        <v>146577.83999999997</v>
      </c>
      <c r="D16" s="10">
        <f>O4</f>
        <v>0.19760284720537086</v>
      </c>
      <c r="E16" s="18">
        <f t="shared" si="2"/>
        <v>8.6580086580086577E-2</v>
      </c>
      <c r="G16">
        <f>G13/2</f>
        <v>634</v>
      </c>
      <c r="J16">
        <v>25</v>
      </c>
      <c r="K16" s="20">
        <f>J16*G16</f>
        <v>15850</v>
      </c>
    </row>
    <row r="17" spans="2:12" hidden="1" x14ac:dyDescent="0.3">
      <c r="B17" s="7" t="s">
        <v>7</v>
      </c>
      <c r="C17" s="5">
        <f t="shared" si="1"/>
        <v>80617.812000000005</v>
      </c>
      <c r="D17" s="10">
        <f>Q4</f>
        <v>0.10868156596295397</v>
      </c>
      <c r="E17" s="18">
        <f t="shared" si="2"/>
        <v>4.7619047619047616E-2</v>
      </c>
      <c r="G17">
        <v>1</v>
      </c>
      <c r="J17">
        <v>857</v>
      </c>
      <c r="K17" s="20">
        <f>J17*G17</f>
        <v>857</v>
      </c>
      <c r="L17" t="s">
        <v>35</v>
      </c>
    </row>
    <row r="18" spans="2:12" ht="15" hidden="1" thickBot="1" x14ac:dyDescent="0.35">
      <c r="B18" s="12" t="s">
        <v>34</v>
      </c>
      <c r="C18" s="13">
        <f>SUM(C12:C17)</f>
        <v>1692974.0519999997</v>
      </c>
      <c r="D18" s="14">
        <f>SUM(D12:D17)</f>
        <v>2.2823128852220336</v>
      </c>
      <c r="E18" s="18"/>
      <c r="G18">
        <v>1</v>
      </c>
      <c r="J18">
        <v>2000</v>
      </c>
      <c r="K18" s="20">
        <f>J18*G18</f>
        <v>2000</v>
      </c>
      <c r="L18" t="s">
        <v>36</v>
      </c>
    </row>
    <row r="19" spans="2:12" ht="15" hidden="1" thickBot="1" x14ac:dyDescent="0.35">
      <c r="G19">
        <v>1</v>
      </c>
      <c r="J19">
        <v>1750</v>
      </c>
      <c r="K19" s="20">
        <f t="shared" ref="K19:K20" si="3">J19*G19</f>
        <v>1750</v>
      </c>
      <c r="L19" t="s">
        <v>37</v>
      </c>
    </row>
    <row r="20" spans="2:12" x14ac:dyDescent="0.3">
      <c r="B20" s="56" t="s">
        <v>49</v>
      </c>
      <c r="C20" s="57"/>
      <c r="D20" s="58"/>
      <c r="G20">
        <f>G15+G14</f>
        <v>5</v>
      </c>
      <c r="J20">
        <v>155</v>
      </c>
      <c r="K20" s="20">
        <f t="shared" si="3"/>
        <v>775</v>
      </c>
      <c r="L20" t="s">
        <v>38</v>
      </c>
    </row>
    <row r="21" spans="2:12" x14ac:dyDescent="0.3">
      <c r="B21" s="7" t="s">
        <v>24</v>
      </c>
      <c r="C21" s="4">
        <v>1930</v>
      </c>
      <c r="D21" s="8" t="s">
        <v>25</v>
      </c>
      <c r="E21" s="21">
        <f>C21/C22</f>
        <v>1.2866666666666666</v>
      </c>
      <c r="K21" s="20">
        <f>SUM(K14:K20)</f>
        <v>71232</v>
      </c>
      <c r="L21" s="21">
        <f>K21/C10/1000</f>
        <v>9.6028472053708652E-2</v>
      </c>
    </row>
    <row r="22" spans="2:12" x14ac:dyDescent="0.3">
      <c r="B22" s="7" t="s">
        <v>27</v>
      </c>
      <c r="C22" s="39">
        <v>1500</v>
      </c>
      <c r="D22" s="8" t="s">
        <v>57</v>
      </c>
    </row>
    <row r="23" spans="2:12" x14ac:dyDescent="0.3">
      <c r="B23" s="7" t="str">
        <f>E2</f>
        <v xml:space="preserve">Module Price </v>
      </c>
      <c r="C23" s="5">
        <f>D23*$C$21*1000</f>
        <v>829900</v>
      </c>
      <c r="D23" s="10">
        <f>E4</f>
        <v>0.43</v>
      </c>
      <c r="E23" s="18">
        <f t="shared" ref="E23:E28" si="4">D23/$D$29</f>
        <v>21.5</v>
      </c>
      <c r="F23" t="s">
        <v>26</v>
      </c>
      <c r="G23">
        <f>G13</f>
        <v>1268</v>
      </c>
      <c r="H23">
        <f>H13</f>
        <v>585</v>
      </c>
      <c r="I23">
        <f>H23*G23/1000</f>
        <v>741.78</v>
      </c>
      <c r="K23" s="20"/>
    </row>
    <row r="24" spans="2:12" x14ac:dyDescent="0.3">
      <c r="B24" s="7" t="str">
        <f>F2</f>
        <v>Inverter Price</v>
      </c>
      <c r="C24" s="5">
        <f t="shared" ref="C24:C36" si="5">D24*$C$21*1000</f>
        <v>185334.9510636577</v>
      </c>
      <c r="D24" s="10">
        <f>F4</f>
        <v>9.6028472053708652E-2</v>
      </c>
      <c r="E24" s="18">
        <f t="shared" si="4"/>
        <v>4.8014236026854329</v>
      </c>
      <c r="F24" t="s">
        <v>27</v>
      </c>
      <c r="G24">
        <v>0</v>
      </c>
      <c r="H24">
        <v>60</v>
      </c>
      <c r="I24">
        <f>H24*G24</f>
        <v>0</v>
      </c>
      <c r="J24">
        <f>J14</f>
        <v>10000</v>
      </c>
      <c r="K24" s="20">
        <f>J24*G24</f>
        <v>0</v>
      </c>
      <c r="L24" t="s">
        <v>50</v>
      </c>
    </row>
    <row r="25" spans="2:12" x14ac:dyDescent="0.3">
      <c r="B25" s="11" t="str">
        <f>G2</f>
        <v xml:space="preserve">Structure Price  </v>
      </c>
      <c r="C25" s="5">
        <f t="shared" si="5"/>
        <v>579000</v>
      </c>
      <c r="D25" s="10">
        <f>G4</f>
        <v>0.3</v>
      </c>
      <c r="E25" s="18">
        <f t="shared" si="4"/>
        <v>15</v>
      </c>
      <c r="G25">
        <f>G15</f>
        <v>0</v>
      </c>
      <c r="H25">
        <v>36</v>
      </c>
      <c r="I25" s="20">
        <f>H25*G25</f>
        <v>0</v>
      </c>
      <c r="J25">
        <f>J15</f>
        <v>3800</v>
      </c>
      <c r="K25" s="20">
        <f>J25*G25</f>
        <v>0</v>
      </c>
      <c r="L25" t="s">
        <v>50</v>
      </c>
    </row>
    <row r="26" spans="2:12" x14ac:dyDescent="0.3">
      <c r="B26" s="7" t="str">
        <f>H2</f>
        <v>BOS</v>
      </c>
      <c r="C26" s="5">
        <f t="shared" si="5"/>
        <v>656200</v>
      </c>
      <c r="D26" s="10">
        <f>H4</f>
        <v>0.34</v>
      </c>
      <c r="E26" s="18">
        <f t="shared" si="4"/>
        <v>17</v>
      </c>
      <c r="J26">
        <v>775</v>
      </c>
      <c r="K26" s="20">
        <f>J26</f>
        <v>775</v>
      </c>
      <c r="L26" t="s">
        <v>51</v>
      </c>
    </row>
    <row r="27" spans="2:12" x14ac:dyDescent="0.3">
      <c r="B27" s="7" t="str">
        <f>I2</f>
        <v xml:space="preserve">Mechanical installation </v>
      </c>
      <c r="C27" s="5">
        <f t="shared" si="5"/>
        <v>482500</v>
      </c>
      <c r="D27" s="10">
        <f>I4</f>
        <v>0.25</v>
      </c>
      <c r="E27" s="18">
        <f t="shared" si="4"/>
        <v>12.5</v>
      </c>
      <c r="G27" s="20"/>
      <c r="H27" s="20"/>
      <c r="I27" s="21"/>
      <c r="J27">
        <v>155</v>
      </c>
      <c r="K27" s="20">
        <f>J27*G24+G25*J27</f>
        <v>0</v>
      </c>
      <c r="L27" t="s">
        <v>52</v>
      </c>
    </row>
    <row r="28" spans="2:12" x14ac:dyDescent="0.3">
      <c r="B28" s="7" t="str">
        <f>J2</f>
        <v xml:space="preserve">Electrical Installation </v>
      </c>
      <c r="C28" s="5">
        <f t="shared" si="5"/>
        <v>810600</v>
      </c>
      <c r="D28" s="10">
        <f>J4</f>
        <v>0.42</v>
      </c>
      <c r="E28" s="18">
        <f t="shared" si="4"/>
        <v>21</v>
      </c>
      <c r="J28">
        <v>1750</v>
      </c>
      <c r="K28" s="20">
        <f>J28</f>
        <v>1750</v>
      </c>
      <c r="L28" t="s">
        <v>53</v>
      </c>
    </row>
    <row r="29" spans="2:12" x14ac:dyDescent="0.3">
      <c r="B29" s="7" t="str">
        <f>K2</f>
        <v xml:space="preserve">Civil </v>
      </c>
      <c r="C29" s="5">
        <f t="shared" si="5"/>
        <v>38600</v>
      </c>
      <c r="D29" s="10">
        <f>K4</f>
        <v>0.02</v>
      </c>
      <c r="E29" s="18"/>
      <c r="J29">
        <v>90</v>
      </c>
      <c r="K29" s="20">
        <f>J29*(G24+G25)</f>
        <v>0</v>
      </c>
      <c r="L29" t="s">
        <v>55</v>
      </c>
    </row>
    <row r="30" spans="2:12" x14ac:dyDescent="0.3">
      <c r="B30" s="7" t="str">
        <f>L2</f>
        <v xml:space="preserve">Engineering </v>
      </c>
      <c r="C30" s="5">
        <f t="shared" si="5"/>
        <v>19300</v>
      </c>
      <c r="D30" s="10">
        <f>L4</f>
        <v>0.01</v>
      </c>
      <c r="E30" s="18"/>
      <c r="G30">
        <f>G23/2</f>
        <v>634</v>
      </c>
      <c r="J30">
        <v>22</v>
      </c>
      <c r="K30" s="20">
        <f>J30*G30</f>
        <v>13948</v>
      </c>
      <c r="L30" t="s">
        <v>54</v>
      </c>
    </row>
    <row r="31" spans="2:12" x14ac:dyDescent="0.3">
      <c r="B31" s="7" t="str">
        <f>M2</f>
        <v xml:space="preserve">Permitting </v>
      </c>
      <c r="C31" s="5">
        <f t="shared" si="5"/>
        <v>57900</v>
      </c>
      <c r="D31" s="10">
        <f>M4</f>
        <v>0.03</v>
      </c>
      <c r="E31" s="18"/>
      <c r="K31" s="20">
        <f>SUM(K24:K30)</f>
        <v>16473</v>
      </c>
      <c r="L31">
        <f>K31/C21/1000</f>
        <v>8.5352331606217604E-3</v>
      </c>
    </row>
    <row r="32" spans="2:12" x14ac:dyDescent="0.3">
      <c r="B32" s="7" t="str">
        <f>N2</f>
        <v xml:space="preserve">Overhead </v>
      </c>
      <c r="C32" s="5">
        <f t="shared" si="5"/>
        <v>154400</v>
      </c>
      <c r="D32" s="10">
        <f>N4</f>
        <v>0.08</v>
      </c>
      <c r="E32" s="18"/>
      <c r="K32" s="20"/>
    </row>
    <row r="33" spans="2:11" x14ac:dyDescent="0.3">
      <c r="B33" s="7" t="str">
        <f>O2</f>
        <v xml:space="preserve">Margin </v>
      </c>
      <c r="C33" s="5">
        <f t="shared" si="5"/>
        <v>381373.49510636576</v>
      </c>
      <c r="D33" s="10">
        <f>O4</f>
        <v>0.19760284720537086</v>
      </c>
      <c r="E33" s="18"/>
      <c r="K33" s="20"/>
    </row>
    <row r="34" spans="2:11" x14ac:dyDescent="0.3">
      <c r="B34" s="7" t="str">
        <f>P2</f>
        <v>Sales &amp; Use Tax</v>
      </c>
      <c r="C34" s="5">
        <f t="shared" si="5"/>
        <v>0</v>
      </c>
      <c r="D34" s="10">
        <f>P4</f>
        <v>0</v>
      </c>
      <c r="E34" s="18"/>
      <c r="F34" t="s">
        <v>29</v>
      </c>
      <c r="G34">
        <f>1675695</f>
        <v>1675695</v>
      </c>
      <c r="H34">
        <f>5445*410</f>
        <v>2232450</v>
      </c>
      <c r="I34">
        <f>G34/$H$34</f>
        <v>0.75060807632869719</v>
      </c>
      <c r="J34" t="s">
        <v>43</v>
      </c>
      <c r="K34" s="20"/>
    </row>
    <row r="35" spans="2:11" x14ac:dyDescent="0.3">
      <c r="B35" s="7" t="str">
        <f>Q2</f>
        <v xml:space="preserve">Contingency Amount </v>
      </c>
      <c r="C35" s="5">
        <f t="shared" si="5"/>
        <v>209755.42230850118</v>
      </c>
      <c r="D35" s="10">
        <f>Q4</f>
        <v>0.10868156596295397</v>
      </c>
      <c r="E35" s="18"/>
      <c r="F35" t="s">
        <v>44</v>
      </c>
      <c r="G35">
        <v>599823.53</v>
      </c>
      <c r="H35">
        <f>G35</f>
        <v>599823.53</v>
      </c>
      <c r="I35">
        <f t="shared" ref="I35:I37" si="6">G35/$H$34</f>
        <v>0.26868397052565568</v>
      </c>
      <c r="K35" s="20"/>
    </row>
    <row r="36" spans="2:11" x14ac:dyDescent="0.3">
      <c r="B36" s="7" t="str">
        <f>R2</f>
        <v xml:space="preserve">Bonding amount </v>
      </c>
      <c r="C36" s="5">
        <f t="shared" si="5"/>
        <v>0</v>
      </c>
      <c r="D36" s="10">
        <f>R4</f>
        <v>0</v>
      </c>
      <c r="E36" s="18"/>
      <c r="F36" t="s">
        <v>45</v>
      </c>
      <c r="G36">
        <v>924310.59</v>
      </c>
      <c r="H36">
        <f t="shared" ref="H36:H37" si="7">G36</f>
        <v>924310.59</v>
      </c>
      <c r="I36">
        <f t="shared" si="6"/>
        <v>0.4140341732177652</v>
      </c>
      <c r="K36" s="20"/>
    </row>
    <row r="37" spans="2:11" ht="15" thickBot="1" x14ac:dyDescent="0.35">
      <c r="B37" s="12" t="str">
        <f>S2</f>
        <v>Total $/Wp</v>
      </c>
      <c r="C37" s="13">
        <f>SUM(C23:C36)</f>
        <v>4404863.8684785245</v>
      </c>
      <c r="D37" s="14">
        <f>SUM(D23:D36)</f>
        <v>2.2823128852220336</v>
      </c>
      <c r="E37" s="18"/>
      <c r="F37" t="s">
        <v>46</v>
      </c>
      <c r="G37">
        <v>262588.24</v>
      </c>
      <c r="H37">
        <f t="shared" si="7"/>
        <v>262588.24</v>
      </c>
      <c r="I37">
        <f t="shared" si="6"/>
        <v>0.11762334654751506</v>
      </c>
      <c r="K37" s="20"/>
    </row>
    <row r="38" spans="2:11" x14ac:dyDescent="0.3">
      <c r="I38">
        <f>SUM(I35:I37)</f>
        <v>0.80034149029093593</v>
      </c>
    </row>
    <row r="42" spans="2:11" x14ac:dyDescent="0.3">
      <c r="B42">
        <v>500</v>
      </c>
      <c r="C42">
        <v>40</v>
      </c>
      <c r="D42">
        <f>C42*B42</f>
        <v>20000</v>
      </c>
    </row>
  </sheetData>
  <mergeCells count="2">
    <mergeCell ref="B9:D9"/>
    <mergeCell ref="B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0.43</v>
      </c>
      <c r="C5" s="33">
        <f>Sheet1!F4</f>
        <v>9.6028472053708652E-2</v>
      </c>
      <c r="D5" s="33">
        <f>Sheet1!G4</f>
        <v>0.3</v>
      </c>
      <c r="E5" s="33">
        <f>Sheet1!H4</f>
        <v>0.34</v>
      </c>
      <c r="F5" s="33">
        <f>Sheet1!I4</f>
        <v>0.25</v>
      </c>
      <c r="G5" s="33">
        <f>Sheet1!J4</f>
        <v>0.42</v>
      </c>
      <c r="H5" s="33">
        <f>Sheet1!K4</f>
        <v>0.02</v>
      </c>
      <c r="I5" s="33">
        <f>Sheet1!L4</f>
        <v>0.01</v>
      </c>
      <c r="J5" s="33">
        <f>Sheet1!M4</f>
        <v>0.03</v>
      </c>
      <c r="K5" s="33">
        <f>Sheet1!N4</f>
        <v>0.08</v>
      </c>
      <c r="L5" s="33">
        <f>Sheet1!O4</f>
        <v>0.19760284720537086</v>
      </c>
      <c r="M5" s="33">
        <f>Sheet1!P4</f>
        <v>0</v>
      </c>
      <c r="N5" s="33">
        <f>Sheet1!Q4</f>
        <v>0.10868156596295397</v>
      </c>
      <c r="O5" s="33">
        <f>Sheet1!R4</f>
        <v>0</v>
      </c>
      <c r="P5" s="33">
        <f>Sheet1!S4</f>
        <v>2.2823128852220336</v>
      </c>
    </row>
    <row r="9" spans="2:16" ht="28.95" customHeight="1" x14ac:dyDescent="0.3">
      <c r="C9" s="59" t="s">
        <v>42</v>
      </c>
      <c r="D9" s="59"/>
    </row>
    <row r="10" spans="2:16" x14ac:dyDescent="0.3">
      <c r="C10" s="34" t="str">
        <f>F4</f>
        <v xml:space="preserve">Mechanical installation </v>
      </c>
      <c r="D10" s="35">
        <f>F5</f>
        <v>0.25</v>
      </c>
    </row>
    <row r="11" spans="2:16" x14ac:dyDescent="0.3">
      <c r="C11" s="34" t="str">
        <f>G4</f>
        <v xml:space="preserve">Electrical Installation </v>
      </c>
      <c r="D11" s="35">
        <f>G5</f>
        <v>0.42</v>
      </c>
    </row>
    <row r="12" spans="2:16" x14ac:dyDescent="0.3">
      <c r="C12" s="34" t="str">
        <f>H4</f>
        <v xml:space="preserve">Civil </v>
      </c>
      <c r="D12" s="35">
        <f>H5</f>
        <v>0.02</v>
      </c>
    </row>
    <row r="13" spans="2:16" x14ac:dyDescent="0.3">
      <c r="C13" s="37" t="s">
        <v>48</v>
      </c>
      <c r="D13" s="38">
        <f>SUM(D10:D12)</f>
        <v>0.69</v>
      </c>
    </row>
    <row r="14" spans="2:16" x14ac:dyDescent="0.3">
      <c r="C14" s="37"/>
      <c r="D14" s="38"/>
    </row>
    <row r="15" spans="2:16" ht="15" x14ac:dyDescent="0.3">
      <c r="C15" s="59" t="s">
        <v>47</v>
      </c>
      <c r="D15" s="59"/>
    </row>
    <row r="16" spans="2:16" x14ac:dyDescent="0.3">
      <c r="C16" s="34" t="str">
        <f>Sheet1!F35</f>
        <v>Foundation Installation</v>
      </c>
      <c r="D16" s="36">
        <f>Sheet1!I35</f>
        <v>0.26868397052565568</v>
      </c>
    </row>
    <row r="17" spans="3:4" x14ac:dyDescent="0.3">
      <c r="C17" s="34" t="str">
        <f>Sheet1!F36</f>
        <v>Racking, Under Decking,</v>
      </c>
      <c r="D17" s="36">
        <f>Sheet1!I36</f>
        <v>0.4140341732177652</v>
      </c>
    </row>
    <row r="18" spans="3:4" x14ac:dyDescent="0.3">
      <c r="C18" s="34" t="str">
        <f>Sheet1!F37</f>
        <v>Panel Installation</v>
      </c>
      <c r="D18" s="36">
        <f>Sheet1!I37</f>
        <v>0.11762334654751506</v>
      </c>
    </row>
    <row r="19" spans="3:4" x14ac:dyDescent="0.3">
      <c r="C19" s="37" t="s">
        <v>48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Props1.xml><?xml version="1.0" encoding="utf-8"?>
<ds:datastoreItem xmlns:ds="http://schemas.openxmlformats.org/officeDocument/2006/customXml" ds:itemID="{13CA3115-1EE0-4D62-9CDD-D77F34E423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276e47-e5b5-46a7-96f7-0cc22626e988"/>
    <ds:schemaRef ds:uri="1d1b5a05-9490-43fc-9196-008d2e8cb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2025-11-26T11:33:03Z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