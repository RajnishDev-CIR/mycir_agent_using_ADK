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47" documentId="8_{0A602AED-51D8-4002-B8AF-EEADE992CD1B}" xr6:coauthVersionLast="47" xr6:coauthVersionMax="47" xr10:uidLastSave="{387161D7-F56D-4707-B689-1AF52C123163}"/>
  <bookViews>
    <workbookView xWindow="-108" yWindow="-108" windowWidth="23256" windowHeight="12456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7" i="2"/>
  <c r="K30" i="1"/>
  <c r="K29" i="1"/>
  <c r="K28" i="1"/>
  <c r="K27" i="1"/>
  <c r="K26" i="1"/>
  <c r="I22" i="1"/>
  <c r="C6" i="2"/>
  <c r="O4" i="1"/>
  <c r="J39" i="1"/>
  <c r="G22" i="1" l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G29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C29" i="1" l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8" i="2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<sst xmlns="http://schemas.openxmlformats.org/spreadsheetml/2006/main" count="80" uniqueCount="67">
  <si>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</si>
  <si>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</si>
  <si>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</si>
  <si>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</si>
  <si>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</si>
  <si>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</si>
  <si>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</si>
  <si>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</si>
  <si>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</si>
  <si>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</si>
  <si>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</si>
  <si>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</si>
  <si>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</si>
  <si>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</si>
  <si>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</si>
  <si>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</si>
  <si>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</si>
  <si>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</si>
  <si>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</si>
  <si>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</si>
  <si>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</si>
  <si>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</si>
  <si>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</si>
  <si>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</si>
  <si>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</si>
  <si>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</si>
  <si>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</si>
  <si>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</si>
  <si>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</si>
  <si>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</si>
  <si>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</si>
  <si>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</si>
  <si>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</si>
  <si>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</si>
  <si>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</si>
  <si>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</si>
  <si>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</si>
  <si>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</si>
  <si>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</si>
  <si>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</si>
  <si>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</si>
  <si>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</si>
  <si>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</si>
  <si>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</si>
  <si>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</si>
  <si>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</si>
  <si>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</si>
  <si>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</si>
  <si>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</si>
  <si>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</si>
  <si>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</si>
  <si>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</si>
  <si>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</si>
  <si>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</si>
  <si>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</si>
  <si>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</si>
  <si>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</si>
  <si>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</si>
  <si>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</si>
  <si>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</si>
  <si>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</si>
  <si>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</si>
  <si>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</si>
  <si>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</si>
  <si>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</si>
  <si>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</si>
  <si>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Project Name : Mansfield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</si>
</sst>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tabSelected="1" workbookViewId="0">
      <selection activeCell="C1" sqref="C1:D3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720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600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273600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69140.49987867022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180000</v>
      </c>
      <c r="D9" s="46">
        <f>Sheet1!D24</f>
        <v>0.25</v>
      </c>
    </row>
    <row r="10" spans="2:6" x14ac:dyDescent="0.3">
      <c r="B10" s="40" t="str">
        <f>Sheet1!B25</f>
        <v>BOS</v>
      </c>
      <c r="C10" s="45">
        <f>Sheet1!C25</f>
        <v>216000</v>
      </c>
      <c r="D10" s="46">
        <f>Sheet1!D25</f>
        <v>0.3</v>
      </c>
    </row>
    <row r="11" spans="2:6" x14ac:dyDescent="0.3">
      <c r="B11" s="40" t="str">
        <f>Sheet1!B26</f>
        <v xml:space="preserve">Mechanical installation </v>
      </c>
      <c r="C11" s="45">
        <f>Sheet1!C26</f>
        <v>180000</v>
      </c>
      <c r="D11" s="46">
        <f>Sheet1!D26</f>
        <v>0.25</v>
      </c>
    </row>
    <row r="12" spans="2:6" x14ac:dyDescent="0.3">
      <c r="B12" s="40" t="str">
        <f>Sheet1!B27</f>
        <v xml:space="preserve">Electrical Installation </v>
      </c>
      <c r="C12" s="45">
        <f>Sheet1!C27</f>
        <v>396000.00000000006</v>
      </c>
      <c r="D12" s="46">
        <f>Sheet1!D27</f>
        <v>0.55000000000000004</v>
      </c>
    </row>
    <row r="13" spans="2:6" x14ac:dyDescent="0.3">
      <c r="B13" s="40" t="str">
        <f>Sheet1!B28</f>
        <v xml:space="preserve">Civil </v>
      </c>
      <c r="C13" s="45">
        <f>Sheet1!C28</f>
        <v>72000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72000</v>
      </c>
      <c r="D14" s="46">
        <f>Sheet1!D29</f>
        <v>0.1</v>
      </c>
    </row>
    <row r="15" spans="2:6" x14ac:dyDescent="0.3">
      <c r="B15" s="40" t="str">
        <f>Sheet1!B30</f>
        <v xml:space="preserve">Permitting </v>
      </c>
      <c r="C15" s="45">
        <f>Sheet1!C30</f>
        <v>28800</v>
      </c>
      <c r="D15" s="46">
        <f>Sheet1!D30</f>
        <v>0.04</v>
      </c>
    </row>
    <row r="16" spans="2:6" x14ac:dyDescent="0.3">
      <c r="B16" s="40" t="str">
        <f>Sheet1!B31</f>
        <v xml:space="preserve">Overhead </v>
      </c>
      <c r="C16" s="45">
        <f>Sheet1!C31</f>
        <v>108000</v>
      </c>
      <c r="D16" s="46">
        <f>Sheet1!D31</f>
        <v>0.15</v>
      </c>
    </row>
    <row r="17" spans="2:4" x14ac:dyDescent="0.3">
      <c r="B17" s="40" t="str">
        <f>Sheet1!B32</f>
        <v xml:space="preserve">Margin </v>
      </c>
      <c r="C17" s="45">
        <f>Sheet1!C32</f>
        <v>159554.04998786704</v>
      </c>
      <c r="D17" s="46">
        <f>Sheet1!D32</f>
        <v>0.22160284720537088</v>
      </c>
    </row>
    <row r="18" spans="2:4" x14ac:dyDescent="0.3">
      <c r="B18" s="40" t="str">
        <f>Sheet1!B34</f>
        <v xml:space="preserve">Contingency Amount </v>
      </c>
      <c r="C18" s="45">
        <f>Sheet1!C34</f>
        <v>52652.836495996118</v>
      </c>
      <c r="D18" s="46">
        <f>Sheet1!D34</f>
        <v>7.3128939577772389E-2</v>
      </c>
    </row>
    <row r="19" spans="2:4" ht="15" thickBot="1" x14ac:dyDescent="0.35">
      <c r="B19" s="42" t="str">
        <f>Sheet1!B36</f>
        <v>Total $/Wp</v>
      </c>
      <c r="C19" s="43">
        <f>Sheet1!C36</f>
        <v>1807747.3863625336</v>
      </c>
      <c r="D19" s="44">
        <f>Sheet1!D36</f>
        <v>2.5107602588368523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workbookViewId="0">
      <selection activeCell="C35" sqref="C35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0.25</v>
      </c>
      <c r="H4" s="28">
        <v>0.3</v>
      </c>
      <c r="I4" s="28">
        <v>0.25</v>
      </c>
      <c r="J4" s="28">
        <v>0.55000000000000004</v>
      </c>
      <c r="K4" s="28">
        <v>0.1</v>
      </c>
      <c r="L4" s="28">
        <v>0.1</v>
      </c>
      <c r="M4" s="28">
        <v>0.04</v>
      </c>
      <c r="N4" s="28">
        <v>0.15</v>
      </c>
      <c r="O4" s="28">
        <f>SUM(E4:H4)*10%+SUM(I4:N4)*10%</f>
        <v>0.22160284720537088</v>
      </c>
      <c r="P4" s="28">
        <v>0</v>
      </c>
      <c r="Q4" s="28">
        <f>SUM(E4:O4)*B4</f>
        <v>7.3128939577772389E-2</v>
      </c>
      <c r="R4" s="28">
        <v>0</v>
      </c>
      <c r="S4" s="17">
        <f>SUM(E4:R4)</f>
        <v>2.5107602588368523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185445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1100</v>
      </c>
    </row>
    <row r="11" spans="2:22" hidden="1" x14ac:dyDescent="0.3">
      <c r="B11" s="7" t="s">
        <v>29</v>
      </c>
      <c r="C11" s="6">
        <f>D11*$C$9*1000</f>
        <v>761087.4</v>
      </c>
      <c r="D11" s="9">
        <f>E4+F4+G4+H4</f>
        <v>1.0260284720537087</v>
      </c>
      <c r="E11" s="18">
        <f>D11/$D$17</f>
        <v>0.40865250612538845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667602</v>
      </c>
      <c r="D12" s="10">
        <f>I4+J4+K4</f>
        <v>0.9</v>
      </c>
      <c r="E12" s="18">
        <f t="shared" ref="E12:E16" si="2">D12/$D$17</f>
        <v>0.35845716325657417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103849.20000000001</v>
      </c>
      <c r="D13" s="10">
        <f>L4+M4</f>
        <v>0.14000000000000001</v>
      </c>
      <c r="E13" s="18">
        <f t="shared" si="2"/>
        <v>5.5760003173244879E-2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111267</v>
      </c>
      <c r="D14" s="10">
        <f>N4</f>
        <v>0.15</v>
      </c>
      <c r="E14" s="18">
        <f t="shared" si="2"/>
        <v>5.9742860542762358E-2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164380.56</v>
      </c>
      <c r="D15" s="10">
        <f>O4</f>
        <v>0.22160284720537088</v>
      </c>
      <c r="E15" s="18">
        <f t="shared" si="2"/>
        <v>8.8261253309796991E-2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54245.584800000004</v>
      </c>
      <c r="D16" s="10">
        <f>Q4</f>
        <v>7.3128939577772389E-2</v>
      </c>
      <c r="E16" s="18">
        <f t="shared" si="2"/>
        <v>2.9126213592233007E-2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1862431.7448</v>
      </c>
      <c r="D17" s="14">
        <f>SUM(D11:D16)</f>
        <v>2.5107602588368523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720</v>
      </c>
      <c r="D20" s="8" t="s">
        <v>25</v>
      </c>
      <c r="E20" s="21">
        <f>C20/C21</f>
        <v>1.2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600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273600</v>
      </c>
      <c r="D22" s="10">
        <f>E4</f>
        <v>0.38</v>
      </c>
      <c r="E22" s="18">
        <f t="shared" ref="E22:E27" si="4">D22/$D$28</f>
        <v>3.8</v>
      </c>
      <c r="F22" t="s">
        <v>26</v>
      </c>
      <c r="G22">
        <f>C20/H22*1000</f>
        <v>1440</v>
      </c>
      <c r="H22">
        <v>500</v>
      </c>
      <c r="I22">
        <f>H22*G22/1000</f>
        <v>720</v>
      </c>
      <c r="K22" s="20"/>
    </row>
    <row r="23" spans="2:12" x14ac:dyDescent="0.3">
      <c r="B23" s="7" t="str">
        <f>F2</f>
        <v>Inverter Price</v>
      </c>
      <c r="C23" s="5">
        <f>D23*$C$20*1000</f>
        <v>69140.49987867022</v>
      </c>
      <c r="D23" s="10">
        <f>F4</f>
        <v>9.6028472053708652E-2</v>
      </c>
      <c r="E23" s="18">
        <f t="shared" si="4"/>
        <v>0.96028472053708647</v>
      </c>
      <c r="F23" t="s">
        <v>27</v>
      </c>
      <c r="G23">
        <v>3</v>
      </c>
      <c r="H23">
        <v>200</v>
      </c>
      <c r="I23">
        <f>H23*G23</f>
        <v>600</v>
      </c>
      <c r="J23">
        <f>J13</f>
        <v>10000</v>
      </c>
      <c r="K23" s="20">
        <f>J23*G23</f>
        <v>30000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ref="C24:C35" si="5">D24*$C$20*1000</f>
        <v>180000</v>
      </c>
      <c r="D24" s="10">
        <f>G4</f>
        <v>0.25</v>
      </c>
      <c r="E24" s="18">
        <f t="shared" si="4"/>
        <v>2.5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216000</v>
      </c>
      <c r="D25" s="10">
        <f>H4</f>
        <v>0.3</v>
      </c>
      <c r="E25" s="18">
        <f t="shared" si="4"/>
        <v>2.9999999999999996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180000</v>
      </c>
      <c r="D26" s="10">
        <f>I4</f>
        <v>0.25</v>
      </c>
      <c r="E26" s="18">
        <f t="shared" si="4"/>
        <v>2.5</v>
      </c>
      <c r="G26" s="20"/>
      <c r="H26" s="20"/>
      <c r="I26" s="21"/>
      <c r="J26">
        <v>155</v>
      </c>
      <c r="K26" s="20">
        <f>J26*G23+G24*J26</f>
        <v>465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396000.00000000006</v>
      </c>
      <c r="D27" s="10">
        <f>J4</f>
        <v>0.55000000000000004</v>
      </c>
      <c r="E27" s="18">
        <f t="shared" si="4"/>
        <v>5.5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72000</v>
      </c>
      <c r="D28" s="10">
        <f>K4</f>
        <v>0.1</v>
      </c>
      <c r="E28" s="18"/>
      <c r="J28">
        <v>90</v>
      </c>
      <c r="K28" s="20">
        <f>J28*(G23+G24)</f>
        <v>270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72000</v>
      </c>
      <c r="D29" s="10">
        <f>L4</f>
        <v>0.1</v>
      </c>
      <c r="E29" s="18"/>
      <c r="G29">
        <f>G22/2</f>
        <v>720</v>
      </c>
      <c r="J29">
        <v>22</v>
      </c>
      <c r="K29" s="20">
        <f>J29*G29</f>
        <v>15840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28800</v>
      </c>
      <c r="D30" s="10">
        <f>M4</f>
        <v>0.04</v>
      </c>
      <c r="E30" s="18"/>
      <c r="K30" s="20">
        <f>SUM(K23:K29)</f>
        <v>49100</v>
      </c>
      <c r="L30" s="21">
        <f>K30/C20/1000</f>
        <v>6.8194444444444446E-2</v>
      </c>
    </row>
    <row r="31" spans="2:12" x14ac:dyDescent="0.3">
      <c r="B31" s="7" t="str">
        <f>N2</f>
        <v xml:space="preserve">Overhead </v>
      </c>
      <c r="C31" s="5">
        <f t="shared" si="5"/>
        <v>108000</v>
      </c>
      <c r="D31" s="10">
        <f>N4</f>
        <v>0.15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159554.04998786704</v>
      </c>
      <c r="D32" s="10">
        <f>O4</f>
        <v>0.22160284720537088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52652.836495996118</v>
      </c>
      <c r="D34" s="10">
        <f>Q4</f>
        <v>7.3128939577772389E-2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1807747.3863625336</v>
      </c>
      <c r="D36" s="14">
        <f>SUM(D22:D35)</f>
        <v>2.5107602588368523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6.9444444444444448E-2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0.25</v>
      </c>
      <c r="E5" s="33">
        <f>Sheet1!H4</f>
        <v>0.3</v>
      </c>
      <c r="F5" s="33">
        <f>Sheet1!I4</f>
        <v>0.25</v>
      </c>
      <c r="G5" s="33">
        <f>Sheet1!J4</f>
        <v>0.55000000000000004</v>
      </c>
      <c r="H5" s="33">
        <f>Sheet1!K4</f>
        <v>0.1</v>
      </c>
      <c r="I5" s="33">
        <f>Sheet1!L4</f>
        <v>0.1</v>
      </c>
      <c r="J5" s="33">
        <f>Sheet1!M4</f>
        <v>0.04</v>
      </c>
      <c r="K5" s="33">
        <f>Sheet1!N4</f>
        <v>0.15</v>
      </c>
      <c r="L5" s="33">
        <f>Sheet1!O4</f>
        <v>0.22160284720537088</v>
      </c>
      <c r="M5" s="33">
        <f>Sheet1!P4</f>
        <v>0</v>
      </c>
      <c r="N5" s="33">
        <f>Sheet1!Q4</f>
        <v>7.3128939577772389E-2</v>
      </c>
      <c r="O5" s="33">
        <f>Sheet1!R4</f>
        <v>0</v>
      </c>
      <c r="P5" s="33">
        <f>Sheet1!S4</f>
        <v>2.5107602588368523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0.25</v>
      </c>
    </row>
    <row r="11" spans="2:16" x14ac:dyDescent="0.3">
      <c r="C11" s="34" t="str">
        <f>G4</f>
        <v xml:space="preserve">Electrical Installation </v>
      </c>
      <c r="D11" s="35">
        <f>G5</f>
        <v>0.55000000000000004</v>
      </c>
    </row>
    <row r="12" spans="2:16" x14ac:dyDescent="0.3">
      <c r="C12" s="34" t="str">
        <f>H4</f>
        <v xml:space="preserve">Civil </v>
      </c>
      <c r="D12" s="35">
        <f>H5</f>
        <v>0.1</v>
      </c>
    </row>
    <row r="13" spans="2:16" x14ac:dyDescent="0.3">
      <c r="C13" s="37" t="s">
        <v>47</v>
      </c>
      <c r="D13" s="38">
        <f>SUM(D10:D12)</f>
        <v>0.9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3fdd1ca1d78f2fbaeb5666bbfbf666e4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3ae4100632fce059ed14c1eb6f939420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0F9A0F1-7889-45B5-A6A2-918B8A0C14CC}"/>
</file>

<file path=customXml/itemProps3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2026-03-18T09:33:25Z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